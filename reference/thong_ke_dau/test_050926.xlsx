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76B2862-4073-4064-9E03-C2FC4DC10B53}" xr6:coauthVersionLast="47" xr6:coauthVersionMax="47" xr10:uidLastSave="{00000000-0000-0000-0000-000000000000}"/>
  <bookViews>
    <workbookView xWindow="-120" yWindow="-120" windowWidth="29040" windowHeight="15840" xr2:uid="{7171CF51-81F4-4BD4-AA81-768A29586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80" i="1" l="1"/>
  <c r="K380" i="1"/>
  <c r="L380" i="1" s="1"/>
  <c r="J380" i="1"/>
  <c r="G380" i="1"/>
  <c r="E380" i="1"/>
  <c r="K379" i="1"/>
  <c r="J379" i="1"/>
  <c r="G379" i="1"/>
  <c r="E379" i="1"/>
  <c r="N378" i="1"/>
  <c r="K378" i="1"/>
  <c r="L378" i="1" s="1"/>
  <c r="J378" i="1"/>
  <c r="G378" i="1"/>
  <c r="E378" i="1"/>
  <c r="K377" i="1"/>
  <c r="J377" i="1"/>
  <c r="G377" i="1"/>
  <c r="E377" i="1"/>
  <c r="N376" i="1"/>
  <c r="K376" i="1"/>
  <c r="L376" i="1" s="1"/>
  <c r="J376" i="1"/>
  <c r="G376" i="1"/>
  <c r="E376" i="1"/>
  <c r="K375" i="1"/>
  <c r="J375" i="1"/>
  <c r="J381" i="1" s="1"/>
  <c r="G375" i="1"/>
  <c r="G381" i="1" s="1"/>
  <c r="E375" i="1"/>
  <c r="E381" i="1" s="1"/>
  <c r="G374" i="1"/>
  <c r="N373" i="1"/>
  <c r="K373" i="1"/>
  <c r="L373" i="1" s="1"/>
  <c r="J373" i="1"/>
  <c r="G373" i="1"/>
  <c r="E373" i="1"/>
  <c r="N372" i="1"/>
  <c r="K372" i="1"/>
  <c r="L372" i="1" s="1"/>
  <c r="J372" i="1"/>
  <c r="G372" i="1"/>
  <c r="E372" i="1"/>
  <c r="N371" i="1"/>
  <c r="K371" i="1"/>
  <c r="L371" i="1" s="1"/>
  <c r="J371" i="1"/>
  <c r="G371" i="1"/>
  <c r="E371" i="1"/>
  <c r="N370" i="1"/>
  <c r="K370" i="1"/>
  <c r="L370" i="1" s="1"/>
  <c r="J370" i="1"/>
  <c r="G370" i="1"/>
  <c r="E370" i="1"/>
  <c r="N369" i="1"/>
  <c r="K369" i="1"/>
  <c r="L369" i="1" s="1"/>
  <c r="J369" i="1"/>
  <c r="G369" i="1"/>
  <c r="E369" i="1"/>
  <c r="N368" i="1"/>
  <c r="K368" i="1"/>
  <c r="L368" i="1" s="1"/>
  <c r="J368" i="1"/>
  <c r="G368" i="1"/>
  <c r="E368" i="1"/>
  <c r="N367" i="1"/>
  <c r="K367" i="1"/>
  <c r="L367" i="1" s="1"/>
  <c r="J367" i="1"/>
  <c r="G367" i="1"/>
  <c r="E367" i="1"/>
  <c r="N366" i="1"/>
  <c r="N374" i="1" s="1"/>
  <c r="Q262" i="1" s="1"/>
  <c r="R262" i="1" s="1"/>
  <c r="K366" i="1"/>
  <c r="L366" i="1" s="1"/>
  <c r="J366" i="1"/>
  <c r="J374" i="1" s="1"/>
  <c r="G366" i="1"/>
  <c r="E366" i="1"/>
  <c r="N365" i="1"/>
  <c r="K365" i="1"/>
  <c r="J365" i="1"/>
  <c r="G365" i="1"/>
  <c r="E365" i="1"/>
  <c r="E374" i="1" s="1"/>
  <c r="N364" i="1"/>
  <c r="K363" i="1"/>
  <c r="J363" i="1"/>
  <c r="L363" i="1" s="1"/>
  <c r="E363" i="1"/>
  <c r="G363" i="1" s="1"/>
  <c r="K362" i="1"/>
  <c r="L362" i="1" s="1"/>
  <c r="J362" i="1"/>
  <c r="G362" i="1"/>
  <c r="E362" i="1"/>
  <c r="L361" i="1"/>
  <c r="K361" i="1"/>
  <c r="J361" i="1"/>
  <c r="E361" i="1"/>
  <c r="G361" i="1" s="1"/>
  <c r="K360" i="1"/>
  <c r="L360" i="1" s="1"/>
  <c r="J360" i="1"/>
  <c r="G360" i="1"/>
  <c r="E360" i="1"/>
  <c r="K359" i="1"/>
  <c r="J359" i="1"/>
  <c r="L359" i="1" s="1"/>
  <c r="E359" i="1"/>
  <c r="G359" i="1" s="1"/>
  <c r="K358" i="1"/>
  <c r="J358" i="1"/>
  <c r="G358" i="1"/>
  <c r="E358" i="1"/>
  <c r="L357" i="1"/>
  <c r="L364" i="1" s="1"/>
  <c r="K357" i="1"/>
  <c r="J357" i="1"/>
  <c r="J364" i="1" s="1"/>
  <c r="E357" i="1"/>
  <c r="N356" i="1"/>
  <c r="K355" i="1"/>
  <c r="L355" i="1" s="1"/>
  <c r="J355" i="1"/>
  <c r="G355" i="1"/>
  <c r="E355" i="1"/>
  <c r="K354" i="1"/>
  <c r="J354" i="1"/>
  <c r="L354" i="1" s="1"/>
  <c r="E354" i="1"/>
  <c r="G354" i="1" s="1"/>
  <c r="K353" i="1"/>
  <c r="L353" i="1" s="1"/>
  <c r="J353" i="1"/>
  <c r="G353" i="1"/>
  <c r="E353" i="1"/>
  <c r="K352" i="1"/>
  <c r="J352" i="1"/>
  <c r="L352" i="1" s="1"/>
  <c r="E352" i="1"/>
  <c r="G352" i="1" s="1"/>
  <c r="K351" i="1"/>
  <c r="L351" i="1" s="1"/>
  <c r="J351" i="1"/>
  <c r="G351" i="1"/>
  <c r="E351" i="1"/>
  <c r="K350" i="1"/>
  <c r="J350" i="1"/>
  <c r="J356" i="1" s="1"/>
  <c r="E350" i="1"/>
  <c r="G350" i="1" s="1"/>
  <c r="K349" i="1"/>
  <c r="J349" i="1"/>
  <c r="G349" i="1"/>
  <c r="G356" i="1" s="1"/>
  <c r="E349" i="1"/>
  <c r="N347" i="1"/>
  <c r="K347" i="1"/>
  <c r="L347" i="1" s="1"/>
  <c r="J347" i="1"/>
  <c r="G347" i="1"/>
  <c r="E347" i="1"/>
  <c r="K346" i="1"/>
  <c r="K348" i="1" s="1"/>
  <c r="J346" i="1"/>
  <c r="G346" i="1"/>
  <c r="E346" i="1"/>
  <c r="N345" i="1"/>
  <c r="K345" i="1"/>
  <c r="L345" i="1" s="1"/>
  <c r="J345" i="1"/>
  <c r="G345" i="1"/>
  <c r="E345" i="1"/>
  <c r="K344" i="1"/>
  <c r="L344" i="1" s="1"/>
  <c r="J344" i="1"/>
  <c r="G344" i="1"/>
  <c r="E344" i="1"/>
  <c r="N343" i="1"/>
  <c r="K343" i="1"/>
  <c r="L343" i="1" s="1"/>
  <c r="J343" i="1"/>
  <c r="G343" i="1"/>
  <c r="E343" i="1"/>
  <c r="K342" i="1"/>
  <c r="J342" i="1"/>
  <c r="J348" i="1" s="1"/>
  <c r="E342" i="1"/>
  <c r="N340" i="1"/>
  <c r="K340" i="1"/>
  <c r="J340" i="1"/>
  <c r="L340" i="1" s="1"/>
  <c r="E340" i="1"/>
  <c r="G340" i="1" s="1"/>
  <c r="N339" i="1"/>
  <c r="L339" i="1"/>
  <c r="K339" i="1"/>
  <c r="J339" i="1"/>
  <c r="E339" i="1"/>
  <c r="G339" i="1" s="1"/>
  <c r="N338" i="1"/>
  <c r="L338" i="1"/>
  <c r="K338" i="1"/>
  <c r="J338" i="1"/>
  <c r="E338" i="1"/>
  <c r="G338" i="1" s="1"/>
  <c r="N337" i="1"/>
  <c r="K337" i="1"/>
  <c r="J337" i="1"/>
  <c r="L337" i="1" s="1"/>
  <c r="E337" i="1"/>
  <c r="G337" i="1" s="1"/>
  <c r="N336" i="1"/>
  <c r="K336" i="1"/>
  <c r="J336" i="1"/>
  <c r="L336" i="1" s="1"/>
  <c r="E336" i="1"/>
  <c r="G336" i="1" s="1"/>
  <c r="N335" i="1"/>
  <c r="L335" i="1"/>
  <c r="K335" i="1"/>
  <c r="J335" i="1"/>
  <c r="E335" i="1"/>
  <c r="G335" i="1" s="1"/>
  <c r="N334" i="1"/>
  <c r="L334" i="1"/>
  <c r="K334" i="1"/>
  <c r="J334" i="1"/>
  <c r="E334" i="1"/>
  <c r="G334" i="1" s="1"/>
  <c r="N333" i="1"/>
  <c r="N341" i="1" s="1"/>
  <c r="Q260" i="1" s="1"/>
  <c r="R260" i="1" s="1"/>
  <c r="K333" i="1"/>
  <c r="J333" i="1"/>
  <c r="L333" i="1" s="1"/>
  <c r="E333" i="1"/>
  <c r="G333" i="1" s="1"/>
  <c r="N332" i="1"/>
  <c r="K332" i="1"/>
  <c r="K341" i="1" s="1"/>
  <c r="J332" i="1"/>
  <c r="L332" i="1" s="1"/>
  <c r="L341" i="1" s="1"/>
  <c r="E332" i="1"/>
  <c r="G332" i="1" s="1"/>
  <c r="N330" i="1"/>
  <c r="K330" i="1"/>
  <c r="J330" i="1"/>
  <c r="L330" i="1" s="1"/>
  <c r="E330" i="1"/>
  <c r="G330" i="1" s="1"/>
  <c r="N329" i="1"/>
  <c r="L329" i="1"/>
  <c r="K329" i="1"/>
  <c r="J329" i="1"/>
  <c r="E329" i="1"/>
  <c r="G329" i="1" s="1"/>
  <c r="N328" i="1"/>
  <c r="L328" i="1"/>
  <c r="K328" i="1"/>
  <c r="J328" i="1"/>
  <c r="E328" i="1"/>
  <c r="G328" i="1" s="1"/>
  <c r="N327" i="1"/>
  <c r="K327" i="1"/>
  <c r="J327" i="1"/>
  <c r="L327" i="1" s="1"/>
  <c r="E327" i="1"/>
  <c r="G327" i="1" s="1"/>
  <c r="N326" i="1"/>
  <c r="K326" i="1"/>
  <c r="J326" i="1"/>
  <c r="L326" i="1" s="1"/>
  <c r="E326" i="1"/>
  <c r="G326" i="1" s="1"/>
  <c r="N325" i="1"/>
  <c r="L325" i="1"/>
  <c r="K325" i="1"/>
  <c r="J325" i="1"/>
  <c r="E325" i="1"/>
  <c r="G325" i="1" s="1"/>
  <c r="N324" i="1"/>
  <c r="L324" i="1"/>
  <c r="K324" i="1"/>
  <c r="J324" i="1"/>
  <c r="E324" i="1"/>
  <c r="G324" i="1" s="1"/>
  <c r="N323" i="1"/>
  <c r="N331" i="1" s="1"/>
  <c r="Q259" i="1" s="1"/>
  <c r="R259" i="1" s="1"/>
  <c r="K323" i="1"/>
  <c r="K331" i="1" s="1"/>
  <c r="J323" i="1"/>
  <c r="L323" i="1" s="1"/>
  <c r="E323" i="1"/>
  <c r="G323" i="1" s="1"/>
  <c r="E322" i="1"/>
  <c r="N321" i="1"/>
  <c r="K321" i="1"/>
  <c r="J321" i="1"/>
  <c r="L321" i="1" s="1"/>
  <c r="E321" i="1"/>
  <c r="G321" i="1" s="1"/>
  <c r="N320" i="1"/>
  <c r="K320" i="1"/>
  <c r="J320" i="1"/>
  <c r="L320" i="1" s="1"/>
  <c r="E320" i="1"/>
  <c r="G320" i="1" s="1"/>
  <c r="N319" i="1"/>
  <c r="L319" i="1"/>
  <c r="K319" i="1"/>
  <c r="J319" i="1"/>
  <c r="E319" i="1"/>
  <c r="G319" i="1" s="1"/>
  <c r="N318" i="1"/>
  <c r="L318" i="1"/>
  <c r="K318" i="1"/>
  <c r="J318" i="1"/>
  <c r="E318" i="1"/>
  <c r="G318" i="1" s="1"/>
  <c r="N317" i="1"/>
  <c r="K317" i="1"/>
  <c r="J317" i="1"/>
  <c r="L317" i="1" s="1"/>
  <c r="E317" i="1"/>
  <c r="G317" i="1" s="1"/>
  <c r="N316" i="1"/>
  <c r="N322" i="1" s="1"/>
  <c r="Q255" i="1" s="1"/>
  <c r="K316" i="1"/>
  <c r="K322" i="1" s="1"/>
  <c r="J316" i="1"/>
  <c r="J322" i="1" s="1"/>
  <c r="E316" i="1"/>
  <c r="G316" i="1" s="1"/>
  <c r="J315" i="1"/>
  <c r="K314" i="1"/>
  <c r="N314" i="1" s="1"/>
  <c r="J314" i="1"/>
  <c r="L314" i="1" s="1"/>
  <c r="E314" i="1"/>
  <c r="G314" i="1" s="1"/>
  <c r="N313" i="1"/>
  <c r="K313" i="1"/>
  <c r="J313" i="1"/>
  <c r="L313" i="1" s="1"/>
  <c r="E313" i="1"/>
  <c r="G313" i="1" s="1"/>
  <c r="K312" i="1"/>
  <c r="N312" i="1" s="1"/>
  <c r="J312" i="1"/>
  <c r="L312" i="1" s="1"/>
  <c r="E312" i="1"/>
  <c r="G312" i="1" s="1"/>
  <c r="N311" i="1"/>
  <c r="L311" i="1"/>
  <c r="K311" i="1"/>
  <c r="J311" i="1"/>
  <c r="E311" i="1"/>
  <c r="G311" i="1" s="1"/>
  <c r="N310" i="1"/>
  <c r="L310" i="1"/>
  <c r="J310" i="1"/>
  <c r="G310" i="1"/>
  <c r="E310" i="1"/>
  <c r="L309" i="1"/>
  <c r="K309" i="1"/>
  <c r="J309" i="1"/>
  <c r="E309" i="1"/>
  <c r="G309" i="1" s="1"/>
  <c r="K308" i="1"/>
  <c r="L308" i="1" s="1"/>
  <c r="J308" i="1"/>
  <c r="G308" i="1"/>
  <c r="E308" i="1"/>
  <c r="L307" i="1"/>
  <c r="L315" i="1" s="1"/>
  <c r="K307" i="1"/>
  <c r="K315" i="1" s="1"/>
  <c r="J307" i="1"/>
  <c r="E307" i="1"/>
  <c r="N305" i="1"/>
  <c r="L305" i="1"/>
  <c r="K305" i="1"/>
  <c r="J305" i="1"/>
  <c r="E305" i="1"/>
  <c r="G305" i="1" s="1"/>
  <c r="L304" i="1"/>
  <c r="K304" i="1"/>
  <c r="N304" i="1" s="1"/>
  <c r="J304" i="1"/>
  <c r="L303" i="1"/>
  <c r="K303" i="1"/>
  <c r="N303" i="1" s="1"/>
  <c r="J303" i="1"/>
  <c r="E303" i="1"/>
  <c r="G303" i="1" s="1"/>
  <c r="N302" i="1"/>
  <c r="L302" i="1"/>
  <c r="K302" i="1"/>
  <c r="J302" i="1"/>
  <c r="E302" i="1"/>
  <c r="G302" i="1" s="1"/>
  <c r="L301" i="1"/>
  <c r="K301" i="1"/>
  <c r="N301" i="1" s="1"/>
  <c r="J301" i="1"/>
  <c r="E301" i="1"/>
  <c r="G301" i="1" s="1"/>
  <c r="N300" i="1"/>
  <c r="K300" i="1"/>
  <c r="J300" i="1"/>
  <c r="E300" i="1"/>
  <c r="G300" i="1" s="1"/>
  <c r="K299" i="1"/>
  <c r="J299" i="1"/>
  <c r="G299" i="1"/>
  <c r="E299" i="1"/>
  <c r="L298" i="1"/>
  <c r="L306" i="1" s="1"/>
  <c r="J298" i="1"/>
  <c r="G298" i="1"/>
  <c r="G306" i="1" s="1"/>
  <c r="E298" i="1"/>
  <c r="K296" i="1"/>
  <c r="J296" i="1"/>
  <c r="G296" i="1"/>
  <c r="E296" i="1"/>
  <c r="N295" i="1"/>
  <c r="K295" i="1"/>
  <c r="L295" i="1" s="1"/>
  <c r="J295" i="1"/>
  <c r="G295" i="1"/>
  <c r="E295" i="1"/>
  <c r="N294" i="1"/>
  <c r="K294" i="1"/>
  <c r="J294" i="1"/>
  <c r="G294" i="1"/>
  <c r="E294" i="1"/>
  <c r="K293" i="1"/>
  <c r="L293" i="1" s="1"/>
  <c r="J293" i="1"/>
  <c r="E293" i="1"/>
  <c r="G293" i="1" s="1"/>
  <c r="K292" i="1"/>
  <c r="L292" i="1" s="1"/>
  <c r="J292" i="1"/>
  <c r="G292" i="1"/>
  <c r="E292" i="1"/>
  <c r="L291" i="1"/>
  <c r="K291" i="1"/>
  <c r="J291" i="1"/>
  <c r="E291" i="1"/>
  <c r="G291" i="1" s="1"/>
  <c r="K290" i="1"/>
  <c r="J290" i="1"/>
  <c r="G290" i="1"/>
  <c r="E290" i="1"/>
  <c r="K289" i="1"/>
  <c r="L289" i="1" s="1"/>
  <c r="L297" i="1" s="1"/>
  <c r="J289" i="1"/>
  <c r="E289" i="1"/>
  <c r="G289" i="1" s="1"/>
  <c r="G297" i="1" s="1"/>
  <c r="K287" i="1"/>
  <c r="N287" i="1" s="1"/>
  <c r="J287" i="1"/>
  <c r="L287" i="1" s="1"/>
  <c r="E287" i="1"/>
  <c r="G287" i="1" s="1"/>
  <c r="N286" i="1"/>
  <c r="K286" i="1"/>
  <c r="J286" i="1"/>
  <c r="L286" i="1" s="1"/>
  <c r="G286" i="1"/>
  <c r="E286" i="1"/>
  <c r="L285" i="1"/>
  <c r="K285" i="1"/>
  <c r="N285" i="1" s="1"/>
  <c r="J285" i="1"/>
  <c r="E285" i="1"/>
  <c r="G285" i="1" s="1"/>
  <c r="N284" i="1"/>
  <c r="N288" i="1" s="1"/>
  <c r="Q254" i="1" s="1"/>
  <c r="R254" i="1" s="1"/>
  <c r="L284" i="1"/>
  <c r="K284" i="1"/>
  <c r="J284" i="1"/>
  <c r="G284" i="1"/>
  <c r="E284" i="1"/>
  <c r="N283" i="1"/>
  <c r="K283" i="1"/>
  <c r="J283" i="1"/>
  <c r="E283" i="1"/>
  <c r="G283" i="1" s="1"/>
  <c r="G288" i="1" s="1"/>
  <c r="N282" i="1"/>
  <c r="K282" i="1"/>
  <c r="J282" i="1"/>
  <c r="L282" i="1" s="1"/>
  <c r="E282" i="1"/>
  <c r="G282" i="1" s="1"/>
  <c r="N281" i="1"/>
  <c r="L281" i="1"/>
  <c r="K281" i="1"/>
  <c r="J281" i="1"/>
  <c r="E281" i="1"/>
  <c r="G281" i="1" s="1"/>
  <c r="N280" i="1"/>
  <c r="Q253" i="1" s="1"/>
  <c r="R253" i="1" s="1"/>
  <c r="G280" i="1"/>
  <c r="N279" i="1"/>
  <c r="L279" i="1"/>
  <c r="K279" i="1"/>
  <c r="J279" i="1"/>
  <c r="E279" i="1"/>
  <c r="G279" i="1" s="1"/>
  <c r="N278" i="1"/>
  <c r="L278" i="1"/>
  <c r="K278" i="1"/>
  <c r="J278" i="1"/>
  <c r="G278" i="1"/>
  <c r="E278" i="1"/>
  <c r="N277" i="1"/>
  <c r="K277" i="1"/>
  <c r="L277" i="1" s="1"/>
  <c r="J277" i="1"/>
  <c r="J280" i="1" s="1"/>
  <c r="E277" i="1"/>
  <c r="G277" i="1" s="1"/>
  <c r="N276" i="1"/>
  <c r="L276" i="1"/>
  <c r="K276" i="1"/>
  <c r="J276" i="1"/>
  <c r="E276" i="1"/>
  <c r="G276" i="1" s="1"/>
  <c r="N275" i="1"/>
  <c r="L275" i="1"/>
  <c r="L280" i="1" s="1"/>
  <c r="K275" i="1"/>
  <c r="J275" i="1"/>
  <c r="G275" i="1"/>
  <c r="E274" i="1"/>
  <c r="N273" i="1"/>
  <c r="K273" i="1"/>
  <c r="L273" i="1" s="1"/>
  <c r="J273" i="1"/>
  <c r="G273" i="1"/>
  <c r="E273" i="1"/>
  <c r="K272" i="1"/>
  <c r="J272" i="1"/>
  <c r="G272" i="1"/>
  <c r="E272" i="1"/>
  <c r="N271" i="1"/>
  <c r="K271" i="1"/>
  <c r="J271" i="1"/>
  <c r="G271" i="1"/>
  <c r="E271" i="1"/>
  <c r="L270" i="1"/>
  <c r="K270" i="1"/>
  <c r="N270" i="1" s="1"/>
  <c r="J270" i="1"/>
  <c r="E270" i="1"/>
  <c r="G270" i="1" s="1"/>
  <c r="N269" i="1"/>
  <c r="K269" i="1"/>
  <c r="L269" i="1" s="1"/>
  <c r="L274" i="1" s="1"/>
  <c r="J269" i="1"/>
  <c r="G269" i="1"/>
  <c r="G274" i="1" s="1"/>
  <c r="E269" i="1"/>
  <c r="K268" i="1"/>
  <c r="G268" i="1"/>
  <c r="N267" i="1"/>
  <c r="J267" i="1"/>
  <c r="L267" i="1" s="1"/>
  <c r="G267" i="1"/>
  <c r="E267" i="1"/>
  <c r="N266" i="1"/>
  <c r="J266" i="1"/>
  <c r="L266" i="1" s="1"/>
  <c r="E266" i="1"/>
  <c r="G266" i="1" s="1"/>
  <c r="Q265" i="1"/>
  <c r="R265" i="1" s="1"/>
  <c r="N265" i="1"/>
  <c r="L265" i="1"/>
  <c r="J265" i="1"/>
  <c r="G265" i="1"/>
  <c r="E265" i="1"/>
  <c r="R264" i="1"/>
  <c r="Q264" i="1"/>
  <c r="N264" i="1"/>
  <c r="N268" i="1" s="1"/>
  <c r="Q251" i="1" s="1"/>
  <c r="J264" i="1"/>
  <c r="L264" i="1" s="1"/>
  <c r="G264" i="1"/>
  <c r="E264" i="1"/>
  <c r="N263" i="1"/>
  <c r="L263" i="1"/>
  <c r="J263" i="1"/>
  <c r="G263" i="1"/>
  <c r="E263" i="1"/>
  <c r="N261" i="1"/>
  <c r="L261" i="1"/>
  <c r="K261" i="1"/>
  <c r="J261" i="1"/>
  <c r="G261" i="1"/>
  <c r="E261" i="1"/>
  <c r="L260" i="1"/>
  <c r="K260" i="1"/>
  <c r="N260" i="1" s="1"/>
  <c r="J260" i="1"/>
  <c r="E260" i="1"/>
  <c r="G260" i="1" s="1"/>
  <c r="N259" i="1"/>
  <c r="K259" i="1"/>
  <c r="L259" i="1" s="1"/>
  <c r="J259" i="1"/>
  <c r="G259" i="1"/>
  <c r="E259" i="1"/>
  <c r="N258" i="1"/>
  <c r="L258" i="1"/>
  <c r="K258" i="1"/>
  <c r="J258" i="1"/>
  <c r="G258" i="1"/>
  <c r="E258" i="1"/>
  <c r="N257" i="1"/>
  <c r="L257" i="1"/>
  <c r="K257" i="1"/>
  <c r="J257" i="1"/>
  <c r="G257" i="1"/>
  <c r="E257" i="1"/>
  <c r="N256" i="1"/>
  <c r="L256" i="1"/>
  <c r="K256" i="1"/>
  <c r="J256" i="1"/>
  <c r="J262" i="1" s="1"/>
  <c r="E256" i="1"/>
  <c r="R255" i="1"/>
  <c r="K255" i="1"/>
  <c r="N254" i="1"/>
  <c r="L254" i="1"/>
  <c r="K254" i="1"/>
  <c r="J254" i="1"/>
  <c r="G254" i="1"/>
  <c r="E254" i="1"/>
  <c r="L253" i="1"/>
  <c r="K253" i="1"/>
  <c r="N253" i="1" s="1"/>
  <c r="J253" i="1"/>
  <c r="E253" i="1"/>
  <c r="G253" i="1" s="1"/>
  <c r="K252" i="1"/>
  <c r="J252" i="1"/>
  <c r="G252" i="1"/>
  <c r="E252" i="1"/>
  <c r="R251" i="1"/>
  <c r="L251" i="1"/>
  <c r="K251" i="1"/>
  <c r="J251" i="1"/>
  <c r="E251" i="1"/>
  <c r="K250" i="1"/>
  <c r="J250" i="1"/>
  <c r="J255" i="1" s="1"/>
  <c r="G250" i="1"/>
  <c r="G255" i="1" s="1"/>
  <c r="E250" i="1"/>
  <c r="R246" i="1"/>
  <c r="N245" i="1"/>
  <c r="N244" i="1"/>
  <c r="K244" i="1"/>
  <c r="L244" i="1" s="1"/>
  <c r="J244" i="1"/>
  <c r="G244" i="1"/>
  <c r="E244" i="1"/>
  <c r="L243" i="1"/>
  <c r="K243" i="1"/>
  <c r="J243" i="1"/>
  <c r="E243" i="1"/>
  <c r="G243" i="1" s="1"/>
  <c r="L242" i="1"/>
  <c r="K242" i="1"/>
  <c r="J242" i="1"/>
  <c r="E242" i="1"/>
  <c r="G242" i="1" s="1"/>
  <c r="L241" i="1"/>
  <c r="K241" i="1"/>
  <c r="J241" i="1"/>
  <c r="G241" i="1"/>
  <c r="E241" i="1"/>
  <c r="K240" i="1"/>
  <c r="L240" i="1" s="1"/>
  <c r="J240" i="1"/>
  <c r="G240" i="1"/>
  <c r="E240" i="1"/>
  <c r="K239" i="1"/>
  <c r="J239" i="1"/>
  <c r="L239" i="1" s="1"/>
  <c r="E239" i="1"/>
  <c r="G239" i="1" s="1"/>
  <c r="L238" i="1"/>
  <c r="L245" i="1" s="1"/>
  <c r="K238" i="1"/>
  <c r="J238" i="1"/>
  <c r="J245" i="1" s="1"/>
  <c r="G238" i="1"/>
  <c r="G245" i="1" s="1"/>
  <c r="E238" i="1"/>
  <c r="E245" i="1" s="1"/>
  <c r="K237" i="1"/>
  <c r="L236" i="1"/>
  <c r="K236" i="1"/>
  <c r="N236" i="1" s="1"/>
  <c r="J236" i="1"/>
  <c r="E236" i="1"/>
  <c r="G236" i="1" s="1"/>
  <c r="N235" i="1"/>
  <c r="K235" i="1"/>
  <c r="L235" i="1" s="1"/>
  <c r="J235" i="1"/>
  <c r="G235" i="1"/>
  <c r="E235" i="1"/>
  <c r="K234" i="1"/>
  <c r="J234" i="1"/>
  <c r="G234" i="1"/>
  <c r="E234" i="1"/>
  <c r="N233" i="1"/>
  <c r="K233" i="1"/>
  <c r="L233" i="1" s="1"/>
  <c r="J233" i="1"/>
  <c r="G233" i="1"/>
  <c r="E233" i="1"/>
  <c r="N232" i="1"/>
  <c r="L232" i="1"/>
  <c r="K232" i="1"/>
  <c r="J232" i="1"/>
  <c r="G232" i="1"/>
  <c r="E232" i="1"/>
  <c r="N231" i="1"/>
  <c r="K231" i="1"/>
  <c r="L231" i="1" s="1"/>
  <c r="J231" i="1"/>
  <c r="J237" i="1" s="1"/>
  <c r="G231" i="1"/>
  <c r="E231" i="1"/>
  <c r="N230" i="1"/>
  <c r="L230" i="1"/>
  <c r="L237" i="1" s="1"/>
  <c r="K230" i="1"/>
  <c r="J230" i="1"/>
  <c r="G230" i="1"/>
  <c r="G237" i="1" s="1"/>
  <c r="E230" i="1"/>
  <c r="K228" i="1"/>
  <c r="J228" i="1"/>
  <c r="G228" i="1"/>
  <c r="E228" i="1"/>
  <c r="N227" i="1"/>
  <c r="K227" i="1"/>
  <c r="L227" i="1" s="1"/>
  <c r="J227" i="1"/>
  <c r="G227" i="1"/>
  <c r="E227" i="1"/>
  <c r="N226" i="1"/>
  <c r="L226" i="1"/>
  <c r="K226" i="1"/>
  <c r="J226" i="1"/>
  <c r="G226" i="1"/>
  <c r="E226" i="1"/>
  <c r="N225" i="1"/>
  <c r="K225" i="1"/>
  <c r="L225" i="1" s="1"/>
  <c r="J225" i="1"/>
  <c r="G225" i="1"/>
  <c r="E225" i="1"/>
  <c r="N224" i="1"/>
  <c r="L224" i="1"/>
  <c r="K224" i="1"/>
  <c r="J224" i="1"/>
  <c r="G224" i="1"/>
  <c r="E224" i="1"/>
  <c r="K223" i="1"/>
  <c r="J223" i="1"/>
  <c r="L223" i="1" s="1"/>
  <c r="G223" i="1"/>
  <c r="E223" i="1"/>
  <c r="N222" i="1"/>
  <c r="L222" i="1"/>
  <c r="K222" i="1"/>
  <c r="K229" i="1" s="1"/>
  <c r="J222" i="1"/>
  <c r="E222" i="1"/>
  <c r="G222" i="1" s="1"/>
  <c r="R220" i="1"/>
  <c r="K220" i="1"/>
  <c r="J220" i="1"/>
  <c r="G220" i="1"/>
  <c r="E220" i="1"/>
  <c r="N219" i="1"/>
  <c r="K219" i="1"/>
  <c r="L219" i="1" s="1"/>
  <c r="J219" i="1"/>
  <c r="G219" i="1"/>
  <c r="E219" i="1"/>
  <c r="N218" i="1"/>
  <c r="L218" i="1"/>
  <c r="K218" i="1"/>
  <c r="J218" i="1"/>
  <c r="G218" i="1"/>
  <c r="E218" i="1"/>
  <c r="K217" i="1"/>
  <c r="J217" i="1"/>
  <c r="G217" i="1"/>
  <c r="E217" i="1"/>
  <c r="N216" i="1"/>
  <c r="L216" i="1"/>
  <c r="K216" i="1"/>
  <c r="J216" i="1"/>
  <c r="G216" i="1"/>
  <c r="E216" i="1"/>
  <c r="N215" i="1"/>
  <c r="K215" i="1"/>
  <c r="J215" i="1"/>
  <c r="G215" i="1"/>
  <c r="E215" i="1"/>
  <c r="L214" i="1"/>
  <c r="L229" i="1" s="1"/>
  <c r="K214" i="1"/>
  <c r="N214" i="1" s="1"/>
  <c r="J214" i="1"/>
  <c r="E214" i="1"/>
  <c r="G213" i="1"/>
  <c r="R212" i="1"/>
  <c r="N212" i="1"/>
  <c r="K212" i="1"/>
  <c r="J212" i="1"/>
  <c r="L212" i="1" s="1"/>
  <c r="G212" i="1"/>
  <c r="E212" i="1"/>
  <c r="R211" i="1"/>
  <c r="N211" i="1"/>
  <c r="L211" i="1"/>
  <c r="K211" i="1"/>
  <c r="J211" i="1"/>
  <c r="G211" i="1"/>
  <c r="E211" i="1"/>
  <c r="R210" i="1"/>
  <c r="L210" i="1"/>
  <c r="K210" i="1"/>
  <c r="N210" i="1" s="1"/>
  <c r="J210" i="1"/>
  <c r="E210" i="1"/>
  <c r="G210" i="1" s="1"/>
  <c r="R209" i="1"/>
  <c r="N209" i="1"/>
  <c r="K209" i="1"/>
  <c r="J209" i="1"/>
  <c r="L209" i="1" s="1"/>
  <c r="G209" i="1"/>
  <c r="E209" i="1"/>
  <c r="R208" i="1"/>
  <c r="N208" i="1"/>
  <c r="N213" i="1" s="1"/>
  <c r="Q23" i="1" s="1"/>
  <c r="R23" i="1" s="1"/>
  <c r="L208" i="1"/>
  <c r="K208" i="1"/>
  <c r="J208" i="1"/>
  <c r="G208" i="1"/>
  <c r="E208" i="1"/>
  <c r="R207" i="1"/>
  <c r="N207" i="1"/>
  <c r="L207" i="1"/>
  <c r="K207" i="1"/>
  <c r="J207" i="1"/>
  <c r="E207" i="1"/>
  <c r="G207" i="1" s="1"/>
  <c r="R206" i="1"/>
  <c r="N206" i="1"/>
  <c r="K206" i="1"/>
  <c r="J206" i="1"/>
  <c r="G206" i="1"/>
  <c r="G221" i="1" s="1"/>
  <c r="E206" i="1"/>
  <c r="K204" i="1"/>
  <c r="J204" i="1"/>
  <c r="G204" i="1"/>
  <c r="E204" i="1"/>
  <c r="N203" i="1"/>
  <c r="L203" i="1"/>
  <c r="K203" i="1"/>
  <c r="J203" i="1"/>
  <c r="G203" i="1"/>
  <c r="E203" i="1"/>
  <c r="K202" i="1"/>
  <c r="J202" i="1"/>
  <c r="G202" i="1"/>
  <c r="E202" i="1"/>
  <c r="N201" i="1"/>
  <c r="L201" i="1"/>
  <c r="K201" i="1"/>
  <c r="J201" i="1"/>
  <c r="G201" i="1"/>
  <c r="E201" i="1"/>
  <c r="K200" i="1"/>
  <c r="J200" i="1"/>
  <c r="G200" i="1"/>
  <c r="E200" i="1"/>
  <c r="N199" i="1"/>
  <c r="L199" i="1"/>
  <c r="K199" i="1"/>
  <c r="J199" i="1"/>
  <c r="G199" i="1"/>
  <c r="E199" i="1"/>
  <c r="K198" i="1"/>
  <c r="J198" i="1"/>
  <c r="G198" i="1"/>
  <c r="E198" i="1"/>
  <c r="N197" i="1"/>
  <c r="L197" i="1"/>
  <c r="L205" i="1" s="1"/>
  <c r="K197" i="1"/>
  <c r="K205" i="1" s="1"/>
  <c r="J197" i="1"/>
  <c r="J205" i="1" s="1"/>
  <c r="G197" i="1"/>
  <c r="G205" i="1" s="1"/>
  <c r="E197" i="1"/>
  <c r="E205" i="1" s="1"/>
  <c r="N195" i="1"/>
  <c r="L195" i="1"/>
  <c r="K195" i="1"/>
  <c r="J195" i="1"/>
  <c r="G195" i="1"/>
  <c r="E195" i="1"/>
  <c r="K194" i="1"/>
  <c r="J194" i="1"/>
  <c r="G194" i="1"/>
  <c r="E194" i="1"/>
  <c r="N193" i="1"/>
  <c r="L193" i="1"/>
  <c r="K193" i="1"/>
  <c r="J193" i="1"/>
  <c r="G193" i="1"/>
  <c r="E193" i="1"/>
  <c r="N192" i="1"/>
  <c r="K192" i="1"/>
  <c r="L192" i="1" s="1"/>
  <c r="J192" i="1"/>
  <c r="G192" i="1"/>
  <c r="E192" i="1"/>
  <c r="N191" i="1"/>
  <c r="L191" i="1"/>
  <c r="K191" i="1"/>
  <c r="J191" i="1"/>
  <c r="G191" i="1"/>
  <c r="E191" i="1"/>
  <c r="N190" i="1"/>
  <c r="K190" i="1"/>
  <c r="L190" i="1" s="1"/>
  <c r="J190" i="1"/>
  <c r="G190" i="1"/>
  <c r="E190" i="1"/>
  <c r="N189" i="1"/>
  <c r="L189" i="1"/>
  <c r="K189" i="1"/>
  <c r="J189" i="1"/>
  <c r="G189" i="1"/>
  <c r="E189" i="1"/>
  <c r="N188" i="1"/>
  <c r="K188" i="1"/>
  <c r="L188" i="1" s="1"/>
  <c r="L196" i="1" s="1"/>
  <c r="J188" i="1"/>
  <c r="J196" i="1" s="1"/>
  <c r="G188" i="1"/>
  <c r="G196" i="1" s="1"/>
  <c r="E188" i="1"/>
  <c r="E196" i="1" s="1"/>
  <c r="R187" i="1"/>
  <c r="R186" i="1"/>
  <c r="N186" i="1"/>
  <c r="L186" i="1"/>
  <c r="K186" i="1"/>
  <c r="J186" i="1"/>
  <c r="G186" i="1"/>
  <c r="E186" i="1"/>
  <c r="R185" i="1"/>
  <c r="N185" i="1"/>
  <c r="L185" i="1"/>
  <c r="K185" i="1"/>
  <c r="J185" i="1"/>
  <c r="E185" i="1"/>
  <c r="G185" i="1" s="1"/>
  <c r="R184" i="1"/>
  <c r="N184" i="1"/>
  <c r="K184" i="1"/>
  <c r="L184" i="1" s="1"/>
  <c r="J184" i="1"/>
  <c r="G184" i="1"/>
  <c r="E184" i="1"/>
  <c r="R183" i="1"/>
  <c r="N183" i="1"/>
  <c r="K183" i="1"/>
  <c r="J183" i="1"/>
  <c r="L183" i="1" s="1"/>
  <c r="G183" i="1"/>
  <c r="E183" i="1"/>
  <c r="R182" i="1"/>
  <c r="N182" i="1"/>
  <c r="L182" i="1"/>
  <c r="K182" i="1"/>
  <c r="J182" i="1"/>
  <c r="G182" i="1"/>
  <c r="E182" i="1"/>
  <c r="R181" i="1"/>
  <c r="N181" i="1"/>
  <c r="L181" i="1"/>
  <c r="K181" i="1"/>
  <c r="J181" i="1"/>
  <c r="E181" i="1"/>
  <c r="G181" i="1" s="1"/>
  <c r="R180" i="1"/>
  <c r="N180" i="1"/>
  <c r="K180" i="1"/>
  <c r="L180" i="1" s="1"/>
  <c r="J180" i="1"/>
  <c r="G180" i="1"/>
  <c r="E180" i="1"/>
  <c r="R179" i="1"/>
  <c r="N179" i="1"/>
  <c r="K179" i="1"/>
  <c r="K187" i="1" s="1"/>
  <c r="J179" i="1"/>
  <c r="L179" i="1" s="1"/>
  <c r="L187" i="1" s="1"/>
  <c r="G179" i="1"/>
  <c r="G187" i="1" s="1"/>
  <c r="E179" i="1"/>
  <c r="E187" i="1" s="1"/>
  <c r="R178" i="1"/>
  <c r="G178" i="1"/>
  <c r="R177" i="1"/>
  <c r="L177" i="1"/>
  <c r="K177" i="1"/>
  <c r="N177" i="1" s="1"/>
  <c r="J177" i="1"/>
  <c r="E177" i="1"/>
  <c r="G177" i="1" s="1"/>
  <c r="R176" i="1"/>
  <c r="N176" i="1"/>
  <c r="K176" i="1"/>
  <c r="L176" i="1" s="1"/>
  <c r="J176" i="1"/>
  <c r="G176" i="1"/>
  <c r="E176" i="1"/>
  <c r="R175" i="1"/>
  <c r="N175" i="1"/>
  <c r="K175" i="1"/>
  <c r="J175" i="1"/>
  <c r="L175" i="1" s="1"/>
  <c r="G175" i="1"/>
  <c r="E175" i="1"/>
  <c r="R174" i="1"/>
  <c r="N174" i="1"/>
  <c r="N178" i="1" s="1"/>
  <c r="Q19" i="1" s="1"/>
  <c r="R19" i="1" s="1"/>
  <c r="L174" i="1"/>
  <c r="J174" i="1"/>
  <c r="E174" i="1"/>
  <c r="G174" i="1" s="1"/>
  <c r="R173" i="1"/>
  <c r="N173" i="1"/>
  <c r="J173" i="1"/>
  <c r="L173" i="1" s="1"/>
  <c r="G173" i="1"/>
  <c r="E173" i="1"/>
  <c r="R172" i="1"/>
  <c r="N172" i="1"/>
  <c r="L172" i="1"/>
  <c r="K172" i="1"/>
  <c r="J172" i="1"/>
  <c r="G172" i="1"/>
  <c r="E172" i="1"/>
  <c r="R171" i="1"/>
  <c r="N171" i="1"/>
  <c r="L171" i="1"/>
  <c r="K171" i="1"/>
  <c r="J171" i="1"/>
  <c r="E171" i="1"/>
  <c r="R170" i="1"/>
  <c r="N170" i="1"/>
  <c r="K170" i="1"/>
  <c r="J170" i="1"/>
  <c r="G170" i="1"/>
  <c r="E170" i="1"/>
  <c r="R169" i="1"/>
  <c r="R168" i="1"/>
  <c r="N168" i="1"/>
  <c r="L168" i="1"/>
  <c r="K168" i="1"/>
  <c r="J168" i="1"/>
  <c r="G168" i="1"/>
  <c r="E168" i="1"/>
  <c r="R167" i="1"/>
  <c r="N167" i="1"/>
  <c r="L167" i="1"/>
  <c r="K167" i="1"/>
  <c r="J167" i="1"/>
  <c r="E167" i="1"/>
  <c r="G167" i="1" s="1"/>
  <c r="R166" i="1"/>
  <c r="N166" i="1"/>
  <c r="J166" i="1"/>
  <c r="L166" i="1" s="1"/>
  <c r="G166" i="1"/>
  <c r="E166" i="1"/>
  <c r="R165" i="1"/>
  <c r="N165" i="1"/>
  <c r="L165" i="1"/>
  <c r="K165" i="1"/>
  <c r="J165" i="1"/>
  <c r="G165" i="1"/>
  <c r="E165" i="1"/>
  <c r="R164" i="1"/>
  <c r="L164" i="1"/>
  <c r="K164" i="1"/>
  <c r="N164" i="1" s="1"/>
  <c r="J164" i="1"/>
  <c r="E164" i="1"/>
  <c r="G164" i="1" s="1"/>
  <c r="R163" i="1"/>
  <c r="K163" i="1"/>
  <c r="J163" i="1"/>
  <c r="G163" i="1"/>
  <c r="E163" i="1"/>
  <c r="R162" i="1"/>
  <c r="N162" i="1"/>
  <c r="K162" i="1"/>
  <c r="J162" i="1"/>
  <c r="L162" i="1" s="1"/>
  <c r="G162" i="1"/>
  <c r="E162" i="1"/>
  <c r="R161" i="1"/>
  <c r="N161" i="1"/>
  <c r="L161" i="1"/>
  <c r="L169" i="1" s="1"/>
  <c r="K161" i="1"/>
  <c r="K169" i="1" s="1"/>
  <c r="J161" i="1"/>
  <c r="G161" i="1"/>
  <c r="G169" i="1" s="1"/>
  <c r="E161" i="1"/>
  <c r="N159" i="1"/>
  <c r="L159" i="1"/>
  <c r="J159" i="1"/>
  <c r="E159" i="1"/>
  <c r="G159" i="1" s="1"/>
  <c r="N158" i="1"/>
  <c r="L158" i="1"/>
  <c r="J158" i="1"/>
  <c r="G158" i="1"/>
  <c r="E158" i="1"/>
  <c r="N157" i="1"/>
  <c r="J157" i="1"/>
  <c r="L157" i="1" s="1"/>
  <c r="G157" i="1"/>
  <c r="E157" i="1"/>
  <c r="N156" i="1"/>
  <c r="L156" i="1"/>
  <c r="J156" i="1"/>
  <c r="G156" i="1"/>
  <c r="E156" i="1"/>
  <c r="N155" i="1"/>
  <c r="L155" i="1"/>
  <c r="J155" i="1"/>
  <c r="E155" i="1"/>
  <c r="G155" i="1" s="1"/>
  <c r="N154" i="1"/>
  <c r="L154" i="1"/>
  <c r="J154" i="1"/>
  <c r="G154" i="1"/>
  <c r="E154" i="1"/>
  <c r="N153" i="1"/>
  <c r="K153" i="1"/>
  <c r="L153" i="1" s="1"/>
  <c r="J153" i="1"/>
  <c r="G153" i="1"/>
  <c r="E153" i="1"/>
  <c r="N152" i="1"/>
  <c r="L152" i="1"/>
  <c r="K152" i="1"/>
  <c r="J152" i="1"/>
  <c r="G152" i="1"/>
  <c r="E152" i="1"/>
  <c r="N151" i="1"/>
  <c r="K151" i="1"/>
  <c r="L151" i="1" s="1"/>
  <c r="J151" i="1"/>
  <c r="G151" i="1"/>
  <c r="E151" i="1"/>
  <c r="N150" i="1"/>
  <c r="L150" i="1"/>
  <c r="K150" i="1"/>
  <c r="J150" i="1"/>
  <c r="G150" i="1"/>
  <c r="E150" i="1"/>
  <c r="N149" i="1"/>
  <c r="K149" i="1"/>
  <c r="L149" i="1" s="1"/>
  <c r="L160" i="1" s="1"/>
  <c r="J149" i="1"/>
  <c r="J160" i="1" s="1"/>
  <c r="G149" i="1"/>
  <c r="G160" i="1" s="1"/>
  <c r="E149" i="1"/>
  <c r="E160" i="1" s="1"/>
  <c r="R148" i="1"/>
  <c r="N147" i="1"/>
  <c r="L147" i="1"/>
  <c r="J147" i="1"/>
  <c r="G147" i="1"/>
  <c r="E147" i="1"/>
  <c r="N146" i="1"/>
  <c r="L146" i="1"/>
  <c r="J146" i="1"/>
  <c r="E146" i="1"/>
  <c r="G146" i="1" s="1"/>
  <c r="N145" i="1"/>
  <c r="L145" i="1"/>
  <c r="J145" i="1"/>
  <c r="G145" i="1"/>
  <c r="E145" i="1"/>
  <c r="R144" i="1"/>
  <c r="N144" i="1"/>
  <c r="L144" i="1"/>
  <c r="J144" i="1"/>
  <c r="G144" i="1"/>
  <c r="E144" i="1"/>
  <c r="R143" i="1"/>
  <c r="N143" i="1"/>
  <c r="L143" i="1"/>
  <c r="J143" i="1"/>
  <c r="G143" i="1"/>
  <c r="E143" i="1"/>
  <c r="R142" i="1"/>
  <c r="N142" i="1"/>
  <c r="L142" i="1"/>
  <c r="J142" i="1"/>
  <c r="G142" i="1"/>
  <c r="E142" i="1"/>
  <c r="R141" i="1"/>
  <c r="N141" i="1"/>
  <c r="K141" i="1"/>
  <c r="J141" i="1"/>
  <c r="L141" i="1" s="1"/>
  <c r="G141" i="1"/>
  <c r="E141" i="1"/>
  <c r="R140" i="1"/>
  <c r="N140" i="1"/>
  <c r="L140" i="1"/>
  <c r="K140" i="1"/>
  <c r="J140" i="1"/>
  <c r="G140" i="1"/>
  <c r="E140" i="1"/>
  <c r="R139" i="1"/>
  <c r="N139" i="1"/>
  <c r="L139" i="1"/>
  <c r="K139" i="1"/>
  <c r="J139" i="1"/>
  <c r="E139" i="1"/>
  <c r="G139" i="1" s="1"/>
  <c r="R138" i="1"/>
  <c r="N138" i="1"/>
  <c r="K138" i="1"/>
  <c r="L138" i="1" s="1"/>
  <c r="J138" i="1"/>
  <c r="G138" i="1"/>
  <c r="E138" i="1"/>
  <c r="R137" i="1"/>
  <c r="N137" i="1"/>
  <c r="K137" i="1"/>
  <c r="J137" i="1"/>
  <c r="L137" i="1" s="1"/>
  <c r="L148" i="1" s="1"/>
  <c r="G137" i="1"/>
  <c r="G148" i="1" s="1"/>
  <c r="E137" i="1"/>
  <c r="E148" i="1" s="1"/>
  <c r="N135" i="1"/>
  <c r="K135" i="1"/>
  <c r="J135" i="1"/>
  <c r="L135" i="1" s="1"/>
  <c r="G135" i="1"/>
  <c r="E135" i="1"/>
  <c r="N134" i="1"/>
  <c r="L134" i="1"/>
  <c r="K134" i="1"/>
  <c r="J134" i="1"/>
  <c r="E134" i="1"/>
  <c r="G134" i="1" s="1"/>
  <c r="N133" i="1"/>
  <c r="K133" i="1"/>
  <c r="J133" i="1"/>
  <c r="L133" i="1" s="1"/>
  <c r="G133" i="1"/>
  <c r="E133" i="1"/>
  <c r="N132" i="1"/>
  <c r="L132" i="1"/>
  <c r="K132" i="1"/>
  <c r="J132" i="1"/>
  <c r="E132" i="1"/>
  <c r="G132" i="1" s="1"/>
  <c r="N131" i="1"/>
  <c r="K131" i="1"/>
  <c r="J131" i="1"/>
  <c r="L131" i="1" s="1"/>
  <c r="G131" i="1"/>
  <c r="E131" i="1"/>
  <c r="N130" i="1"/>
  <c r="L130" i="1"/>
  <c r="K130" i="1"/>
  <c r="K136" i="1" s="1"/>
  <c r="J130" i="1"/>
  <c r="E130" i="1"/>
  <c r="G130" i="1" s="1"/>
  <c r="N129" i="1"/>
  <c r="N136" i="1" s="1"/>
  <c r="Q25" i="1" s="1"/>
  <c r="K129" i="1"/>
  <c r="J129" i="1"/>
  <c r="G129" i="1"/>
  <c r="G136" i="1" s="1"/>
  <c r="E129" i="1"/>
  <c r="R128" i="1"/>
  <c r="N128" i="1"/>
  <c r="G128" i="1"/>
  <c r="R127" i="1"/>
  <c r="N127" i="1"/>
  <c r="L127" i="1"/>
  <c r="K127" i="1"/>
  <c r="J127" i="1"/>
  <c r="E127" i="1"/>
  <c r="G127" i="1" s="1"/>
  <c r="R126" i="1"/>
  <c r="N126" i="1"/>
  <c r="K126" i="1"/>
  <c r="L126" i="1" s="1"/>
  <c r="J126" i="1"/>
  <c r="G126" i="1"/>
  <c r="E126" i="1"/>
  <c r="R125" i="1"/>
  <c r="N125" i="1"/>
  <c r="K125" i="1"/>
  <c r="J125" i="1"/>
  <c r="L125" i="1" s="1"/>
  <c r="G125" i="1"/>
  <c r="E125" i="1"/>
  <c r="R124" i="1"/>
  <c r="N124" i="1"/>
  <c r="L124" i="1"/>
  <c r="K124" i="1"/>
  <c r="J124" i="1"/>
  <c r="G124" i="1"/>
  <c r="E124" i="1"/>
  <c r="R123" i="1"/>
  <c r="N123" i="1"/>
  <c r="L123" i="1"/>
  <c r="K123" i="1"/>
  <c r="J123" i="1"/>
  <c r="E123" i="1"/>
  <c r="R122" i="1"/>
  <c r="N122" i="1"/>
  <c r="K122" i="1"/>
  <c r="J122" i="1"/>
  <c r="G122" i="1"/>
  <c r="E122" i="1"/>
  <c r="R121" i="1"/>
  <c r="N121" i="1"/>
  <c r="K121" i="1"/>
  <c r="J121" i="1"/>
  <c r="G121" i="1"/>
  <c r="E121" i="1"/>
  <c r="R120" i="1"/>
  <c r="R119" i="1"/>
  <c r="N119" i="1"/>
  <c r="L119" i="1"/>
  <c r="K119" i="1"/>
  <c r="J119" i="1"/>
  <c r="E119" i="1"/>
  <c r="G119" i="1" s="1"/>
  <c r="R118" i="1"/>
  <c r="N118" i="1"/>
  <c r="K118" i="1"/>
  <c r="J118" i="1"/>
  <c r="G118" i="1"/>
  <c r="E118" i="1"/>
  <c r="R117" i="1"/>
  <c r="N117" i="1"/>
  <c r="K117" i="1"/>
  <c r="J117" i="1"/>
  <c r="L117" i="1" s="1"/>
  <c r="G117" i="1"/>
  <c r="E117" i="1"/>
  <c r="R116" i="1"/>
  <c r="N116" i="1"/>
  <c r="N120" i="1" s="1"/>
  <c r="L116" i="1"/>
  <c r="J116" i="1"/>
  <c r="E116" i="1"/>
  <c r="G116" i="1" s="1"/>
  <c r="R115" i="1"/>
  <c r="N115" i="1"/>
  <c r="J115" i="1"/>
  <c r="L115" i="1" s="1"/>
  <c r="G115" i="1"/>
  <c r="E115" i="1"/>
  <c r="R114" i="1"/>
  <c r="N114" i="1"/>
  <c r="L114" i="1"/>
  <c r="J114" i="1"/>
  <c r="E114" i="1"/>
  <c r="R113" i="1"/>
  <c r="N113" i="1"/>
  <c r="J113" i="1"/>
  <c r="G113" i="1"/>
  <c r="E113" i="1"/>
  <c r="R112" i="1"/>
  <c r="N112" i="1"/>
  <c r="Q14" i="1" s="1"/>
  <c r="R14" i="1" s="1"/>
  <c r="R111" i="1"/>
  <c r="N111" i="1"/>
  <c r="L111" i="1"/>
  <c r="K111" i="1"/>
  <c r="J111" i="1"/>
  <c r="E111" i="1"/>
  <c r="G111" i="1" s="1"/>
  <c r="R110" i="1"/>
  <c r="N110" i="1"/>
  <c r="K110" i="1"/>
  <c r="L110" i="1" s="1"/>
  <c r="J110" i="1"/>
  <c r="G110" i="1"/>
  <c r="E110" i="1"/>
  <c r="R109" i="1"/>
  <c r="N109" i="1"/>
  <c r="K109" i="1"/>
  <c r="J109" i="1"/>
  <c r="L109" i="1" s="1"/>
  <c r="G109" i="1"/>
  <c r="E109" i="1"/>
  <c r="R108" i="1"/>
  <c r="N108" i="1"/>
  <c r="L108" i="1"/>
  <c r="K108" i="1"/>
  <c r="J108" i="1"/>
  <c r="G108" i="1"/>
  <c r="E108" i="1"/>
  <c r="R107" i="1"/>
  <c r="N107" i="1"/>
  <c r="L107" i="1"/>
  <c r="K107" i="1"/>
  <c r="J107" i="1"/>
  <c r="E107" i="1"/>
  <c r="G107" i="1" s="1"/>
  <c r="R106" i="1"/>
  <c r="N106" i="1"/>
  <c r="K106" i="1"/>
  <c r="L106" i="1" s="1"/>
  <c r="J106" i="1"/>
  <c r="G106" i="1"/>
  <c r="E106" i="1"/>
  <c r="R105" i="1"/>
  <c r="N105" i="1"/>
  <c r="K105" i="1"/>
  <c r="J105" i="1"/>
  <c r="L105" i="1" s="1"/>
  <c r="G105" i="1"/>
  <c r="E105" i="1"/>
  <c r="R104" i="1"/>
  <c r="R103" i="1"/>
  <c r="N103" i="1"/>
  <c r="L103" i="1"/>
  <c r="K103" i="1"/>
  <c r="J103" i="1"/>
  <c r="E103" i="1"/>
  <c r="G103" i="1" s="1"/>
  <c r="R102" i="1"/>
  <c r="N102" i="1"/>
  <c r="K102" i="1"/>
  <c r="L102" i="1" s="1"/>
  <c r="J102" i="1"/>
  <c r="G102" i="1"/>
  <c r="E102" i="1"/>
  <c r="R101" i="1"/>
  <c r="N101" i="1"/>
  <c r="K101" i="1"/>
  <c r="J101" i="1"/>
  <c r="L101" i="1" s="1"/>
  <c r="G101" i="1"/>
  <c r="E101" i="1"/>
  <c r="R100" i="1"/>
  <c r="N100" i="1"/>
  <c r="N104" i="1" s="1"/>
  <c r="Q13" i="1" s="1"/>
  <c r="R13" i="1" s="1"/>
  <c r="L100" i="1"/>
  <c r="K100" i="1"/>
  <c r="J100" i="1"/>
  <c r="G100" i="1"/>
  <c r="E100" i="1"/>
  <c r="R99" i="1"/>
  <c r="N99" i="1"/>
  <c r="L99" i="1"/>
  <c r="K99" i="1"/>
  <c r="J99" i="1"/>
  <c r="E99" i="1"/>
  <c r="R98" i="1"/>
  <c r="N98" i="1"/>
  <c r="K98" i="1"/>
  <c r="J98" i="1"/>
  <c r="G98" i="1"/>
  <c r="E98" i="1"/>
  <c r="R97" i="1"/>
  <c r="R96" i="1"/>
  <c r="N96" i="1"/>
  <c r="L96" i="1"/>
  <c r="K96" i="1"/>
  <c r="J96" i="1"/>
  <c r="G96" i="1"/>
  <c r="E96" i="1"/>
  <c r="R95" i="1"/>
  <c r="N95" i="1"/>
  <c r="L95" i="1"/>
  <c r="K95" i="1"/>
  <c r="J95" i="1"/>
  <c r="E95" i="1"/>
  <c r="G95" i="1" s="1"/>
  <c r="R94" i="1"/>
  <c r="N94" i="1"/>
  <c r="K94" i="1"/>
  <c r="L94" i="1" s="1"/>
  <c r="J94" i="1"/>
  <c r="G94" i="1"/>
  <c r="E94" i="1"/>
  <c r="R93" i="1"/>
  <c r="N93" i="1"/>
  <c r="K93" i="1"/>
  <c r="J93" i="1"/>
  <c r="L93" i="1" s="1"/>
  <c r="G93" i="1"/>
  <c r="E93" i="1"/>
  <c r="R92" i="1"/>
  <c r="N92" i="1"/>
  <c r="L92" i="1"/>
  <c r="K92" i="1"/>
  <c r="J92" i="1"/>
  <c r="G92" i="1"/>
  <c r="E92" i="1"/>
  <c r="R91" i="1"/>
  <c r="N91" i="1"/>
  <c r="L91" i="1"/>
  <c r="K91" i="1"/>
  <c r="J91" i="1"/>
  <c r="E91" i="1"/>
  <c r="G91" i="1" s="1"/>
  <c r="R90" i="1"/>
  <c r="N90" i="1"/>
  <c r="K90" i="1"/>
  <c r="J90" i="1"/>
  <c r="G90" i="1"/>
  <c r="E90" i="1"/>
  <c r="R89" i="1"/>
  <c r="N89" i="1"/>
  <c r="N97" i="1" s="1"/>
  <c r="Q12" i="1" s="1"/>
  <c r="R12" i="1" s="1"/>
  <c r="K89" i="1"/>
  <c r="K97" i="1" s="1"/>
  <c r="J89" i="1"/>
  <c r="L89" i="1" s="1"/>
  <c r="G89" i="1"/>
  <c r="E89" i="1"/>
  <c r="E97" i="1" s="1"/>
  <c r="R88" i="1"/>
  <c r="G88" i="1"/>
  <c r="R87" i="1"/>
  <c r="N87" i="1"/>
  <c r="L87" i="1"/>
  <c r="K87" i="1"/>
  <c r="J87" i="1"/>
  <c r="E87" i="1"/>
  <c r="G87" i="1" s="1"/>
  <c r="R86" i="1"/>
  <c r="N86" i="1"/>
  <c r="K86" i="1"/>
  <c r="J86" i="1"/>
  <c r="G86" i="1"/>
  <c r="E86" i="1"/>
  <c r="R85" i="1"/>
  <c r="N85" i="1"/>
  <c r="K85" i="1"/>
  <c r="J85" i="1"/>
  <c r="L85" i="1" s="1"/>
  <c r="G85" i="1"/>
  <c r="E85" i="1"/>
  <c r="R84" i="1"/>
  <c r="N84" i="1"/>
  <c r="L84" i="1"/>
  <c r="K84" i="1"/>
  <c r="J84" i="1"/>
  <c r="G84" i="1"/>
  <c r="E84" i="1"/>
  <c r="R83" i="1"/>
  <c r="N83" i="1"/>
  <c r="L83" i="1"/>
  <c r="K83" i="1"/>
  <c r="J83" i="1"/>
  <c r="E83" i="1"/>
  <c r="G83" i="1" s="1"/>
  <c r="R82" i="1"/>
  <c r="N82" i="1"/>
  <c r="K82" i="1"/>
  <c r="J82" i="1"/>
  <c r="G82" i="1"/>
  <c r="E82" i="1"/>
  <c r="R81" i="1"/>
  <c r="N81" i="1"/>
  <c r="N88" i="1" s="1"/>
  <c r="Q11" i="1" s="1"/>
  <c r="R11" i="1" s="1"/>
  <c r="K81" i="1"/>
  <c r="J81" i="1"/>
  <c r="G81" i="1"/>
  <c r="E81" i="1"/>
  <c r="R80" i="1"/>
  <c r="R79" i="1"/>
  <c r="N79" i="1"/>
  <c r="L79" i="1"/>
  <c r="K79" i="1"/>
  <c r="J79" i="1"/>
  <c r="E79" i="1"/>
  <c r="G79" i="1" s="1"/>
  <c r="R78" i="1"/>
  <c r="N78" i="1"/>
  <c r="K78" i="1"/>
  <c r="J78" i="1"/>
  <c r="G78" i="1"/>
  <c r="E78" i="1"/>
  <c r="R77" i="1"/>
  <c r="N77" i="1"/>
  <c r="K77" i="1"/>
  <c r="J77" i="1"/>
  <c r="L77" i="1" s="1"/>
  <c r="G77" i="1"/>
  <c r="E77" i="1"/>
  <c r="R76" i="1"/>
  <c r="N76" i="1"/>
  <c r="L76" i="1"/>
  <c r="K76" i="1"/>
  <c r="J76" i="1"/>
  <c r="G76" i="1"/>
  <c r="E76" i="1"/>
  <c r="R75" i="1"/>
  <c r="N75" i="1"/>
  <c r="L75" i="1"/>
  <c r="K75" i="1"/>
  <c r="J75" i="1"/>
  <c r="E75" i="1"/>
  <c r="G75" i="1" s="1"/>
  <c r="R74" i="1"/>
  <c r="N74" i="1"/>
  <c r="K74" i="1"/>
  <c r="J74" i="1"/>
  <c r="G74" i="1"/>
  <c r="E74" i="1"/>
  <c r="R73" i="1"/>
  <c r="N73" i="1"/>
  <c r="K73" i="1"/>
  <c r="J73" i="1"/>
  <c r="L73" i="1" s="1"/>
  <c r="G73" i="1"/>
  <c r="E73" i="1"/>
  <c r="R72" i="1"/>
  <c r="N72" i="1"/>
  <c r="N80" i="1" s="1"/>
  <c r="Q10" i="1" s="1"/>
  <c r="R10" i="1" s="1"/>
  <c r="L72" i="1"/>
  <c r="K72" i="1"/>
  <c r="J72" i="1"/>
  <c r="E72" i="1"/>
  <c r="G72" i="1" s="1"/>
  <c r="G80" i="1" s="1"/>
  <c r="R71" i="1"/>
  <c r="R70" i="1"/>
  <c r="N70" i="1"/>
  <c r="K70" i="1"/>
  <c r="J70" i="1"/>
  <c r="G70" i="1"/>
  <c r="E70" i="1"/>
  <c r="R69" i="1"/>
  <c r="N69" i="1"/>
  <c r="K69" i="1"/>
  <c r="J69" i="1"/>
  <c r="L69" i="1" s="1"/>
  <c r="G69" i="1"/>
  <c r="E69" i="1"/>
  <c r="R68" i="1"/>
  <c r="N68" i="1"/>
  <c r="L68" i="1"/>
  <c r="K68" i="1"/>
  <c r="J68" i="1"/>
  <c r="G68" i="1"/>
  <c r="E68" i="1"/>
  <c r="R67" i="1"/>
  <c r="N67" i="1"/>
  <c r="L67" i="1"/>
  <c r="K67" i="1"/>
  <c r="J67" i="1"/>
  <c r="E67" i="1"/>
  <c r="G67" i="1" s="1"/>
  <c r="R66" i="1"/>
  <c r="N66" i="1"/>
  <c r="K66" i="1"/>
  <c r="J66" i="1"/>
  <c r="G66" i="1"/>
  <c r="E66" i="1"/>
  <c r="N65" i="1"/>
  <c r="L65" i="1"/>
  <c r="K65" i="1"/>
  <c r="J65" i="1"/>
  <c r="E65" i="1"/>
  <c r="G65" i="1" s="1"/>
  <c r="R64" i="1"/>
  <c r="N64" i="1"/>
  <c r="K64" i="1"/>
  <c r="L64" i="1" s="1"/>
  <c r="J64" i="1"/>
  <c r="E64" i="1"/>
  <c r="G64" i="1" s="1"/>
  <c r="R63" i="1"/>
  <c r="N63" i="1"/>
  <c r="K63" i="1"/>
  <c r="L63" i="1" s="1"/>
  <c r="J63" i="1"/>
  <c r="G63" i="1"/>
  <c r="E63" i="1"/>
  <c r="R62" i="1"/>
  <c r="N62" i="1"/>
  <c r="K62" i="1"/>
  <c r="J62" i="1"/>
  <c r="L62" i="1" s="1"/>
  <c r="E62" i="1"/>
  <c r="G62" i="1" s="1"/>
  <c r="G71" i="1" s="1"/>
  <c r="R61" i="1"/>
  <c r="R60" i="1"/>
  <c r="N60" i="1"/>
  <c r="L60" i="1"/>
  <c r="K60" i="1"/>
  <c r="J60" i="1"/>
  <c r="E60" i="1"/>
  <c r="G60" i="1" s="1"/>
  <c r="R59" i="1"/>
  <c r="N59" i="1"/>
  <c r="K59" i="1"/>
  <c r="J59" i="1"/>
  <c r="G59" i="1"/>
  <c r="E59" i="1"/>
  <c r="N58" i="1"/>
  <c r="K58" i="1"/>
  <c r="L58" i="1" s="1"/>
  <c r="J58" i="1"/>
  <c r="E58" i="1"/>
  <c r="G58" i="1" s="1"/>
  <c r="R57" i="1"/>
  <c r="N57" i="1"/>
  <c r="K57" i="1"/>
  <c r="L57" i="1" s="1"/>
  <c r="J57" i="1"/>
  <c r="E57" i="1"/>
  <c r="G57" i="1" s="1"/>
  <c r="R56" i="1"/>
  <c r="N56" i="1"/>
  <c r="K56" i="1"/>
  <c r="L56" i="1" s="1"/>
  <c r="J56" i="1"/>
  <c r="G56" i="1"/>
  <c r="E56" i="1"/>
  <c r="R55" i="1"/>
  <c r="N55" i="1"/>
  <c r="K55" i="1"/>
  <c r="J55" i="1"/>
  <c r="L55" i="1" s="1"/>
  <c r="G55" i="1"/>
  <c r="E55" i="1"/>
  <c r="R54" i="1"/>
  <c r="N54" i="1"/>
  <c r="L54" i="1"/>
  <c r="K54" i="1"/>
  <c r="J54" i="1"/>
  <c r="G54" i="1"/>
  <c r="E54" i="1"/>
  <c r="R53" i="1"/>
  <c r="N53" i="1"/>
  <c r="L53" i="1"/>
  <c r="K53" i="1"/>
  <c r="J53" i="1"/>
  <c r="E53" i="1"/>
  <c r="G53" i="1" s="1"/>
  <c r="R52" i="1"/>
  <c r="N52" i="1"/>
  <c r="N61" i="1" s="1"/>
  <c r="Q7" i="1" s="1"/>
  <c r="R7" i="1" s="1"/>
  <c r="K52" i="1"/>
  <c r="J52" i="1"/>
  <c r="G52" i="1"/>
  <c r="E52" i="1"/>
  <c r="R51" i="1"/>
  <c r="N51" i="1"/>
  <c r="L51" i="1"/>
  <c r="K51" i="1"/>
  <c r="J51" i="1"/>
  <c r="E51" i="1"/>
  <c r="E61" i="1" s="1"/>
  <c r="R50" i="1"/>
  <c r="N50" i="1"/>
  <c r="K50" i="1"/>
  <c r="K61" i="1" s="1"/>
  <c r="J50" i="1"/>
  <c r="E50" i="1"/>
  <c r="G50" i="1" s="1"/>
  <c r="R49" i="1"/>
  <c r="R48" i="1"/>
  <c r="N48" i="1"/>
  <c r="K48" i="1"/>
  <c r="J48" i="1"/>
  <c r="G48" i="1"/>
  <c r="E48" i="1"/>
  <c r="R47" i="1"/>
  <c r="N47" i="1"/>
  <c r="L47" i="1"/>
  <c r="K47" i="1"/>
  <c r="J47" i="1"/>
  <c r="G47" i="1"/>
  <c r="E47" i="1"/>
  <c r="N46" i="1"/>
  <c r="K46" i="1"/>
  <c r="L46" i="1" s="1"/>
  <c r="J46" i="1"/>
  <c r="E46" i="1"/>
  <c r="G46" i="1" s="1"/>
  <c r="N45" i="1"/>
  <c r="L45" i="1"/>
  <c r="K45" i="1"/>
  <c r="J45" i="1"/>
  <c r="E45" i="1"/>
  <c r="E49" i="1" s="1"/>
  <c r="R44" i="1"/>
  <c r="N44" i="1"/>
  <c r="K44" i="1"/>
  <c r="L44" i="1" s="1"/>
  <c r="J44" i="1"/>
  <c r="E44" i="1"/>
  <c r="G44" i="1" s="1"/>
  <c r="R43" i="1"/>
  <c r="N43" i="1"/>
  <c r="K43" i="1"/>
  <c r="L43" i="1" s="1"/>
  <c r="J43" i="1"/>
  <c r="E43" i="1"/>
  <c r="G43" i="1" s="1"/>
  <c r="R42" i="1"/>
  <c r="N42" i="1"/>
  <c r="K42" i="1"/>
  <c r="L42" i="1" s="1"/>
  <c r="J42" i="1"/>
  <c r="G42" i="1"/>
  <c r="E42" i="1"/>
  <c r="R41" i="1"/>
  <c r="N41" i="1"/>
  <c r="K41" i="1"/>
  <c r="J41" i="1"/>
  <c r="L41" i="1" s="1"/>
  <c r="G41" i="1"/>
  <c r="E41" i="1"/>
  <c r="R40" i="1"/>
  <c r="N40" i="1"/>
  <c r="L40" i="1"/>
  <c r="K40" i="1"/>
  <c r="J40" i="1"/>
  <c r="G40" i="1"/>
  <c r="E40" i="1"/>
  <c r="R39" i="1"/>
  <c r="N39" i="1"/>
  <c r="L39" i="1"/>
  <c r="L49" i="1" s="1"/>
  <c r="K39" i="1"/>
  <c r="K49" i="1" s="1"/>
  <c r="J39" i="1"/>
  <c r="J49" i="1" s="1"/>
  <c r="E39" i="1"/>
  <c r="G39" i="1" s="1"/>
  <c r="R38" i="1"/>
  <c r="R37" i="1"/>
  <c r="N37" i="1"/>
  <c r="K37" i="1"/>
  <c r="J37" i="1"/>
  <c r="L37" i="1" s="1"/>
  <c r="E37" i="1"/>
  <c r="G37" i="1" s="1"/>
  <c r="R36" i="1"/>
  <c r="N36" i="1"/>
  <c r="K36" i="1"/>
  <c r="L36" i="1" s="1"/>
  <c r="J36" i="1"/>
  <c r="G36" i="1"/>
  <c r="E36" i="1"/>
  <c r="R35" i="1"/>
  <c r="N35" i="1"/>
  <c r="L35" i="1"/>
  <c r="K35" i="1"/>
  <c r="J35" i="1"/>
  <c r="E35" i="1"/>
  <c r="G35" i="1" s="1"/>
  <c r="R34" i="1"/>
  <c r="N34" i="1"/>
  <c r="K34" i="1"/>
  <c r="J34" i="1"/>
  <c r="G34" i="1"/>
  <c r="E34" i="1"/>
  <c r="R33" i="1"/>
  <c r="N33" i="1"/>
  <c r="N38" i="1" s="1"/>
  <c r="Q5" i="1" s="1"/>
  <c r="R5" i="1" s="1"/>
  <c r="L33" i="1"/>
  <c r="K33" i="1"/>
  <c r="J33" i="1"/>
  <c r="G33" i="1"/>
  <c r="E33" i="1"/>
  <c r="R32" i="1"/>
  <c r="N32" i="1"/>
  <c r="L32" i="1"/>
  <c r="K32" i="1"/>
  <c r="J32" i="1"/>
  <c r="E32" i="1"/>
  <c r="G32" i="1" s="1"/>
  <c r="R31" i="1"/>
  <c r="N31" i="1"/>
  <c r="K31" i="1"/>
  <c r="L31" i="1" s="1"/>
  <c r="J31" i="1"/>
  <c r="E31" i="1"/>
  <c r="G31" i="1" s="1"/>
  <c r="N30" i="1"/>
  <c r="K30" i="1"/>
  <c r="K38" i="1" s="1"/>
  <c r="J30" i="1"/>
  <c r="J38" i="1" s="1"/>
  <c r="E30" i="1"/>
  <c r="R28" i="1"/>
  <c r="Q28" i="1"/>
  <c r="N28" i="1"/>
  <c r="K28" i="1"/>
  <c r="L28" i="1" s="1"/>
  <c r="J28" i="1"/>
  <c r="E28" i="1"/>
  <c r="G28" i="1" s="1"/>
  <c r="N27" i="1"/>
  <c r="K27" i="1"/>
  <c r="L27" i="1" s="1"/>
  <c r="J27" i="1"/>
  <c r="E27" i="1"/>
  <c r="G27" i="1" s="1"/>
  <c r="N26" i="1"/>
  <c r="L26" i="1"/>
  <c r="K26" i="1"/>
  <c r="J26" i="1"/>
  <c r="G26" i="1"/>
  <c r="E26" i="1"/>
  <c r="R25" i="1"/>
  <c r="N25" i="1"/>
  <c r="L25" i="1"/>
  <c r="K25" i="1"/>
  <c r="J25" i="1"/>
  <c r="G25" i="1"/>
  <c r="E25" i="1"/>
  <c r="N24" i="1"/>
  <c r="K24" i="1"/>
  <c r="L24" i="1" s="1"/>
  <c r="J24" i="1"/>
  <c r="G24" i="1"/>
  <c r="E24" i="1"/>
  <c r="N23" i="1"/>
  <c r="L23" i="1"/>
  <c r="K23" i="1"/>
  <c r="J23" i="1"/>
  <c r="E23" i="1"/>
  <c r="G23" i="1" s="1"/>
  <c r="N22" i="1"/>
  <c r="L22" i="1"/>
  <c r="K22" i="1"/>
  <c r="J22" i="1"/>
  <c r="E22" i="1"/>
  <c r="G22" i="1" s="1"/>
  <c r="N21" i="1"/>
  <c r="L21" i="1"/>
  <c r="K21" i="1"/>
  <c r="J21" i="1"/>
  <c r="E21" i="1"/>
  <c r="E29" i="1" s="1"/>
  <c r="N20" i="1"/>
  <c r="K20" i="1"/>
  <c r="L20" i="1" s="1"/>
  <c r="L29" i="1" s="1"/>
  <c r="J20" i="1"/>
  <c r="J29" i="1" s="1"/>
  <c r="G20" i="1"/>
  <c r="E20" i="1"/>
  <c r="O18" i="1"/>
  <c r="O19" i="1" s="1"/>
  <c r="O20" i="1" s="1"/>
  <c r="O21" i="1" s="1"/>
  <c r="O22" i="1" s="1"/>
  <c r="O23" i="1" s="1"/>
  <c r="O24" i="1" s="1"/>
  <c r="O25" i="1" s="1"/>
  <c r="O26" i="1" s="1"/>
  <c r="N18" i="1"/>
  <c r="K18" i="1"/>
  <c r="L18" i="1" s="1"/>
  <c r="J18" i="1"/>
  <c r="J19" i="1" s="1"/>
  <c r="E18" i="1"/>
  <c r="G18" i="1" s="1"/>
  <c r="O17" i="1"/>
  <c r="N17" i="1"/>
  <c r="L17" i="1"/>
  <c r="K17" i="1"/>
  <c r="J17" i="1"/>
  <c r="E17" i="1"/>
  <c r="G17" i="1" s="1"/>
  <c r="R16" i="1"/>
  <c r="Q16" i="1"/>
  <c r="N16" i="1"/>
  <c r="L16" i="1"/>
  <c r="K16" i="1"/>
  <c r="J16" i="1"/>
  <c r="E16" i="1"/>
  <c r="G16" i="1" s="1"/>
  <c r="N15" i="1"/>
  <c r="L15" i="1"/>
  <c r="K15" i="1"/>
  <c r="J15" i="1"/>
  <c r="E15" i="1"/>
  <c r="G15" i="1" s="1"/>
  <c r="N14" i="1"/>
  <c r="L14" i="1"/>
  <c r="K14" i="1"/>
  <c r="J14" i="1"/>
  <c r="E14" i="1"/>
  <c r="G14" i="1" s="1"/>
  <c r="N13" i="1"/>
  <c r="L13" i="1"/>
  <c r="K13" i="1"/>
  <c r="J13" i="1"/>
  <c r="E13" i="1"/>
  <c r="G13" i="1" s="1"/>
  <c r="N12" i="1"/>
  <c r="N19" i="1" s="1"/>
  <c r="L12" i="1"/>
  <c r="L19" i="1" s="1"/>
  <c r="K12" i="1"/>
  <c r="J12" i="1"/>
  <c r="E12" i="1"/>
  <c r="E19" i="1" s="1"/>
  <c r="G11" i="1"/>
  <c r="N10" i="1"/>
  <c r="L10" i="1"/>
  <c r="K10" i="1"/>
  <c r="J10" i="1"/>
  <c r="E10" i="1"/>
  <c r="G10" i="1" s="1"/>
  <c r="N9" i="1"/>
  <c r="L9" i="1"/>
  <c r="K9" i="1"/>
  <c r="J9" i="1"/>
  <c r="E9" i="1"/>
  <c r="G9" i="1" s="1"/>
  <c r="N8" i="1"/>
  <c r="L8" i="1"/>
  <c r="K8" i="1"/>
  <c r="J8" i="1"/>
  <c r="E8" i="1"/>
  <c r="G8" i="1" s="1"/>
  <c r="N7" i="1"/>
  <c r="L7" i="1"/>
  <c r="K7" i="1"/>
  <c r="J7" i="1"/>
  <c r="E7" i="1"/>
  <c r="G7" i="1" s="1"/>
  <c r="N6" i="1"/>
  <c r="L6" i="1"/>
  <c r="K6" i="1"/>
  <c r="J6" i="1"/>
  <c r="E6" i="1"/>
  <c r="G6" i="1" s="1"/>
  <c r="N5" i="1"/>
  <c r="L5" i="1"/>
  <c r="K5" i="1"/>
  <c r="J5" i="1"/>
  <c r="E5" i="1"/>
  <c r="G5" i="1" s="1"/>
  <c r="N4" i="1"/>
  <c r="L4" i="1"/>
  <c r="K4" i="1"/>
  <c r="J4" i="1"/>
  <c r="E4" i="1"/>
  <c r="G4" i="1" s="1"/>
  <c r="R3" i="1"/>
  <c r="Q3" i="1"/>
  <c r="N3" i="1"/>
  <c r="L3" i="1"/>
  <c r="K3" i="1"/>
  <c r="K11" i="1" s="1"/>
  <c r="J3" i="1"/>
  <c r="E3" i="1"/>
  <c r="E11" i="1" s="1"/>
  <c r="N2" i="1"/>
  <c r="N11" i="1" s="1"/>
  <c r="Q8" i="1" s="1"/>
  <c r="R8" i="1" s="1"/>
  <c r="K2" i="1"/>
  <c r="L2" i="1" s="1"/>
  <c r="L11" i="1" s="1"/>
  <c r="J2" i="1"/>
  <c r="J11" i="1" s="1"/>
  <c r="G2" i="1"/>
  <c r="E2" i="1"/>
  <c r="R15" i="1" l="1"/>
  <c r="Q15" i="1"/>
  <c r="K19" i="1"/>
  <c r="J120" i="1"/>
  <c r="L113" i="1"/>
  <c r="L120" i="1" s="1"/>
  <c r="E136" i="1"/>
  <c r="N204" i="1"/>
  <c r="L204" i="1"/>
  <c r="G3" i="1"/>
  <c r="G12" i="1"/>
  <c r="G19" i="1" s="1"/>
  <c r="N29" i="1"/>
  <c r="Q4" i="1" s="1"/>
  <c r="G21" i="1"/>
  <c r="L34" i="1"/>
  <c r="N49" i="1"/>
  <c r="Q6" i="1" s="1"/>
  <c r="R6" i="1" s="1"/>
  <c r="G45" i="1"/>
  <c r="G49" i="1" s="1"/>
  <c r="L48" i="1"/>
  <c r="L50" i="1"/>
  <c r="G51" i="1"/>
  <c r="G61" i="1" s="1"/>
  <c r="L66" i="1"/>
  <c r="L71" i="1" s="1"/>
  <c r="E71" i="1"/>
  <c r="K80" i="1"/>
  <c r="L74" i="1"/>
  <c r="L80" i="1" s="1"/>
  <c r="K88" i="1"/>
  <c r="L82" i="1"/>
  <c r="G97" i="1"/>
  <c r="L90" i="1"/>
  <c r="L121" i="1"/>
  <c r="J128" i="1"/>
  <c r="K148" i="1"/>
  <c r="J148" i="1"/>
  <c r="K160" i="1"/>
  <c r="N187" i="1"/>
  <c r="Q20" i="1" s="1"/>
  <c r="R20" i="1" s="1"/>
  <c r="N196" i="1"/>
  <c r="Q21" i="1" s="1"/>
  <c r="R21" i="1" s="1"/>
  <c r="N194" i="1"/>
  <c r="L194" i="1"/>
  <c r="L217" i="1"/>
  <c r="N217" i="1"/>
  <c r="N237" i="1"/>
  <c r="Q27" i="1" s="1"/>
  <c r="R27" i="1" s="1"/>
  <c r="N234" i="1"/>
  <c r="L234" i="1"/>
  <c r="K262" i="1"/>
  <c r="L268" i="1"/>
  <c r="N272" i="1"/>
  <c r="N274" i="1" s="1"/>
  <c r="Q252" i="1" s="1"/>
  <c r="R252" i="1" s="1"/>
  <c r="L272" i="1"/>
  <c r="N200" i="1"/>
  <c r="L200" i="1"/>
  <c r="L213" i="1" s="1"/>
  <c r="N220" i="1"/>
  <c r="L220" i="1"/>
  <c r="G29" i="1"/>
  <c r="L30" i="1"/>
  <c r="L38" i="1" s="1"/>
  <c r="L52" i="1"/>
  <c r="L59" i="1"/>
  <c r="N71" i="1"/>
  <c r="Q9" i="1" s="1"/>
  <c r="R9" i="1" s="1"/>
  <c r="L70" i="1"/>
  <c r="K71" i="1"/>
  <c r="L78" i="1"/>
  <c r="L81" i="1"/>
  <c r="L88" i="1" s="1"/>
  <c r="J88" i="1"/>
  <c r="L86" i="1"/>
  <c r="L97" i="1"/>
  <c r="J97" i="1"/>
  <c r="E104" i="1"/>
  <c r="E112" i="1" s="1"/>
  <c r="G99" i="1"/>
  <c r="N148" i="1"/>
  <c r="Q17" i="1" s="1"/>
  <c r="R17" i="1" s="1"/>
  <c r="E169" i="1"/>
  <c r="N163" i="1"/>
  <c r="L163" i="1"/>
  <c r="J169" i="1"/>
  <c r="J178" i="1"/>
  <c r="E178" i="1"/>
  <c r="G171" i="1"/>
  <c r="N198" i="1"/>
  <c r="N205" i="1" s="1"/>
  <c r="Q22" i="1" s="1"/>
  <c r="R22" i="1" s="1"/>
  <c r="L198" i="1"/>
  <c r="N202" i="1"/>
  <c r="L202" i="1"/>
  <c r="K213" i="1"/>
  <c r="L206" i="1"/>
  <c r="L221" i="1" s="1"/>
  <c r="N229" i="1"/>
  <c r="Q26" i="1" s="1"/>
  <c r="R26" i="1" s="1"/>
  <c r="N228" i="1"/>
  <c r="L228" i="1"/>
  <c r="K245" i="1"/>
  <c r="G251" i="1"/>
  <c r="E255" i="1"/>
  <c r="N252" i="1"/>
  <c r="L252" i="1"/>
  <c r="L262" i="1"/>
  <c r="L296" i="1"/>
  <c r="N296" i="1"/>
  <c r="N297" i="1" s="1"/>
  <c r="Q258" i="1" s="1"/>
  <c r="R258" i="1" s="1"/>
  <c r="K128" i="1"/>
  <c r="L122" i="1"/>
  <c r="K196" i="1"/>
  <c r="K29" i="1"/>
  <c r="E38" i="1"/>
  <c r="G30" i="1"/>
  <c r="G38" i="1" s="1"/>
  <c r="J61" i="1"/>
  <c r="J71" i="1"/>
  <c r="J80" i="1"/>
  <c r="E80" i="1"/>
  <c r="E88" i="1"/>
  <c r="K104" i="1"/>
  <c r="K112" i="1" s="1"/>
  <c r="L98" i="1"/>
  <c r="E120" i="1"/>
  <c r="G114" i="1"/>
  <c r="G120" i="1" s="1"/>
  <c r="K120" i="1"/>
  <c r="L118" i="1"/>
  <c r="E128" i="1"/>
  <c r="G123" i="1"/>
  <c r="J136" i="1"/>
  <c r="L129" i="1"/>
  <c r="L136" i="1" s="1"/>
  <c r="N160" i="1"/>
  <c r="Q29" i="1" s="1"/>
  <c r="R29" i="1" s="1"/>
  <c r="N169" i="1"/>
  <c r="Q18" i="1" s="1"/>
  <c r="R18" i="1" s="1"/>
  <c r="K178" i="1"/>
  <c r="L170" i="1"/>
  <c r="L178" i="1" s="1"/>
  <c r="J187" i="1"/>
  <c r="J213" i="1"/>
  <c r="J221" i="1" s="1"/>
  <c r="J229" i="1" s="1"/>
  <c r="G214" i="1"/>
  <c r="G229" i="1" s="1"/>
  <c r="E262" i="1"/>
  <c r="G256" i="1"/>
  <c r="G262" i="1" s="1"/>
  <c r="J104" i="1"/>
  <c r="J112" i="1" s="1"/>
  <c r="E213" i="1"/>
  <c r="E221" i="1" s="1"/>
  <c r="E229" i="1" s="1"/>
  <c r="L215" i="1"/>
  <c r="L250" i="1"/>
  <c r="L255" i="1" s="1"/>
  <c r="N262" i="1"/>
  <c r="Q250" i="1" s="1"/>
  <c r="R250" i="1" s="1"/>
  <c r="E280" i="1"/>
  <c r="L283" i="1"/>
  <c r="L288" i="1" s="1"/>
  <c r="E297" i="1"/>
  <c r="J306" i="1"/>
  <c r="L300" i="1"/>
  <c r="G307" i="1"/>
  <c r="G315" i="1" s="1"/>
  <c r="E315" i="1"/>
  <c r="J331" i="1"/>
  <c r="N377" i="1"/>
  <c r="L377" i="1"/>
  <c r="K274" i="1"/>
  <c r="J288" i="1"/>
  <c r="E288" i="1"/>
  <c r="K297" i="1"/>
  <c r="L331" i="1"/>
  <c r="J341" i="1"/>
  <c r="K374" i="1"/>
  <c r="L365" i="1"/>
  <c r="L374" i="1" s="1"/>
  <c r="K221" i="1"/>
  <c r="E237" i="1"/>
  <c r="E268" i="1"/>
  <c r="L346" i="1"/>
  <c r="N346" i="1"/>
  <c r="K364" i="1"/>
  <c r="L358" i="1"/>
  <c r="J268" i="1"/>
  <c r="J274" i="1"/>
  <c r="L271" i="1"/>
  <c r="K280" i="1"/>
  <c r="K288" i="1"/>
  <c r="J297" i="1"/>
  <c r="L294" i="1"/>
  <c r="E306" i="1"/>
  <c r="N315" i="1"/>
  <c r="Q257" i="1" s="1"/>
  <c r="R257" i="1" s="1"/>
  <c r="L316" i="1"/>
  <c r="L322" i="1" s="1"/>
  <c r="L342" i="1"/>
  <c r="L348" i="1" s="1"/>
  <c r="L349" i="1"/>
  <c r="L356" i="1" s="1"/>
  <c r="K356" i="1"/>
  <c r="L350" i="1"/>
  <c r="E364" i="1"/>
  <c r="G357" i="1"/>
  <c r="G364" i="1" s="1"/>
  <c r="N379" i="1"/>
  <c r="L379" i="1"/>
  <c r="L299" i="1"/>
  <c r="K306" i="1"/>
  <c r="G322" i="1"/>
  <c r="G341" i="1"/>
  <c r="G342" i="1"/>
  <c r="G348" i="1" s="1"/>
  <c r="E348" i="1"/>
  <c r="E356" i="1"/>
  <c r="L290" i="1"/>
  <c r="N306" i="1"/>
  <c r="Q256" i="1" s="1"/>
  <c r="R256" i="1" s="1"/>
  <c r="G331" i="1"/>
  <c r="E331" i="1"/>
  <c r="E341" i="1"/>
  <c r="N344" i="1"/>
  <c r="N348" i="1" s="1"/>
  <c r="Q261" i="1" s="1"/>
  <c r="R261" i="1" s="1"/>
  <c r="N375" i="1"/>
  <c r="N381" i="1" s="1"/>
  <c r="Q263" i="1" s="1"/>
  <c r="R263" i="1" s="1"/>
  <c r="L375" i="1"/>
  <c r="L381" i="1" s="1"/>
  <c r="K381" i="1"/>
  <c r="L112" i="1" l="1"/>
  <c r="L104" i="1"/>
  <c r="G112" i="1"/>
  <c r="G104" i="1"/>
  <c r="L128" i="1"/>
  <c r="N221" i="1"/>
  <c r="Q24" i="1" s="1"/>
  <c r="R24" i="1" s="1"/>
  <c r="R4" i="1"/>
  <c r="R30" i="1" s="1"/>
  <c r="N255" i="1"/>
  <c r="Q249" i="1" s="1"/>
  <c r="L61" i="1"/>
  <c r="Q266" i="1" l="1"/>
  <c r="R249" i="1"/>
  <c r="N382" i="1"/>
  <c r="Q30" i="1"/>
  <c r="N246" i="1"/>
</calcChain>
</file>

<file path=xl/sharedStrings.xml><?xml version="1.0" encoding="utf-8"?>
<sst xmlns="http://schemas.openxmlformats.org/spreadsheetml/2006/main" count="441" uniqueCount="70">
  <si>
    <t>NGÀY</t>
  </si>
  <si>
    <t>SỐ XE</t>
  </si>
  <si>
    <t>SỐ KM ĐỔ</t>
  </si>
  <si>
    <t>T.CỘNG</t>
  </si>
  <si>
    <t>L/100 KM</t>
  </si>
  <si>
    <t>định vị</t>
  </si>
  <si>
    <t>LÍT</t>
  </si>
  <si>
    <t>THÀNH TIỀN</t>
  </si>
  <si>
    <t>50H-55443</t>
  </si>
  <si>
    <t>50H-55161</t>
  </si>
  <si>
    <t>50H-64470</t>
  </si>
  <si>
    <t>50H-64316</t>
  </si>
  <si>
    <t>50H-54580</t>
  </si>
  <si>
    <t>50H-66445</t>
  </si>
  <si>
    <t>50H55443</t>
  </si>
  <si>
    <t>50H-63174</t>
  </si>
  <si>
    <t>50H-55116</t>
  </si>
  <si>
    <t>TC</t>
  </si>
  <si>
    <t>50H-50999</t>
  </si>
  <si>
    <t>50H-88294</t>
  </si>
  <si>
    <t>50H-69501</t>
  </si>
  <si>
    <t>50H-74619</t>
  </si>
  <si>
    <t>50H-70216</t>
  </si>
  <si>
    <t>50H-87442</t>
  </si>
  <si>
    <t xml:space="preserve"> 50F 08817</t>
  </si>
  <si>
    <t>50H-92136</t>
  </si>
  <si>
    <t>62H  01887</t>
  </si>
  <si>
    <t>51D-38021</t>
  </si>
  <si>
    <t>51D -55829</t>
  </si>
  <si>
    <t>50H-60635</t>
  </si>
  <si>
    <t>50H-86564</t>
  </si>
  <si>
    <t>50H-44024</t>
  </si>
  <si>
    <t>50E-164,61</t>
  </si>
  <si>
    <t>50H-44328</t>
  </si>
  <si>
    <t>50E-565,21</t>
  </si>
  <si>
    <t>51C 81056</t>
  </si>
  <si>
    <t>50E 93403</t>
  </si>
  <si>
    <t xml:space="preserve"> </t>
  </si>
  <si>
    <t>50H 50999</t>
  </si>
  <si>
    <t>50H 69501</t>
  </si>
  <si>
    <t>50H 746.19</t>
  </si>
  <si>
    <t>50H 70216</t>
  </si>
  <si>
    <t>50H 87442</t>
  </si>
  <si>
    <t xml:space="preserve"> 50E 16461</t>
  </si>
  <si>
    <t>50F 08817</t>
  </si>
  <si>
    <t>62H-01887</t>
  </si>
  <si>
    <t>51D 55829</t>
  </si>
  <si>
    <t xml:space="preserve"> 50H-44328</t>
  </si>
  <si>
    <t>XE LỚN  CÂY XĂNG HIỆP TÂN</t>
  </si>
  <si>
    <t>50H-66347</t>
  </si>
  <si>
    <t>50H-87055</t>
  </si>
  <si>
    <t>50H-55129</t>
  </si>
  <si>
    <t>50H-55294</t>
  </si>
  <si>
    <t>50H-69717</t>
  </si>
  <si>
    <t>50H-75206</t>
  </si>
  <si>
    <t>50E-324,01</t>
  </si>
  <si>
    <t>50H 87055</t>
  </si>
  <si>
    <t>95G-00283</t>
  </si>
  <si>
    <t xml:space="preserve"> 50E 66082</t>
  </si>
  <si>
    <t>50E-407,46</t>
  </si>
  <si>
    <t>50E-64873</t>
  </si>
  <si>
    <t xml:space="preserve"> 50E-654.34</t>
  </si>
  <si>
    <t>50H 17010</t>
  </si>
  <si>
    <t>50E 75774</t>
  </si>
  <si>
    <t>50E 75873</t>
  </si>
  <si>
    <t>67H 02034</t>
  </si>
  <si>
    <t>76C 13012</t>
  </si>
  <si>
    <t>50E-407.46</t>
  </si>
  <si>
    <t>50E 66082</t>
  </si>
  <si>
    <t>50E-32401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</si>
</sst>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dd/mm/yyyy"/>
    <numFmt numFmtId="166" formatCode="yyyy/m"/>
    <numFmt numFmtId="167" formatCode="dd\-mm"/>
  </numFmts>
  <fonts count="8" x14ac:knownFonts="1">
    <font>
      <sz val="12"/>
      <color theme="1"/>
      <name val="Times New Roman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81B3A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" fontId="3" fillId="2" borderId="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3" fillId="2" borderId="6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" fillId="2" borderId="0" xfId="0" applyFont="1" applyFill="1"/>
    <xf numFmtId="3" fontId="2" fillId="0" borderId="0" xfId="0" applyNumberFormat="1" applyFont="1"/>
    <xf numFmtId="3" fontId="3" fillId="3" borderId="6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3" fillId="2" borderId="7" xfId="0" applyNumberFormat="1" applyFont="1" applyFill="1" applyBorder="1" applyAlignment="1">
      <alignment horizontal="center"/>
    </xf>
    <xf numFmtId="3" fontId="3" fillId="2" borderId="7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4" fontId="1" fillId="2" borderId="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3" fontId="4" fillId="2" borderId="5" xfId="0" applyNumberFormat="1" applyFont="1" applyFill="1" applyBorder="1" applyAlignment="1">
      <alignment horizontal="center"/>
    </xf>
    <xf numFmtId="164" fontId="3" fillId="3" borderId="6" xfId="0" applyNumberFormat="1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4" borderId="0" xfId="0" applyFont="1" applyFill="1"/>
    <xf numFmtId="3" fontId="2" fillId="2" borderId="0" xfId="0" applyNumberFormat="1" applyFont="1" applyFill="1"/>
    <xf numFmtId="164" fontId="3" fillId="3" borderId="7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4" fontId="1" fillId="2" borderId="9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1" fillId="2" borderId="9" xfId="0" applyNumberFormat="1" applyFont="1" applyFill="1" applyBorder="1" applyAlignment="1">
      <alignment horizontal="center"/>
    </xf>
    <xf numFmtId="164" fontId="3" fillId="2" borderId="10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4" fontId="3" fillId="2" borderId="14" xfId="0" applyNumberFormat="1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164" fontId="3" fillId="2" borderId="16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center"/>
    </xf>
    <xf numFmtId="3" fontId="3" fillId="2" borderId="18" xfId="0" applyNumberFormat="1" applyFont="1" applyFill="1" applyBorder="1" applyAlignment="1">
      <alignment horizontal="center"/>
    </xf>
    <xf numFmtId="164" fontId="3" fillId="2" borderId="19" xfId="0" applyNumberFormat="1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165" fontId="1" fillId="2" borderId="21" xfId="0" applyNumberFormat="1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4" fontId="2" fillId="2" borderId="23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4" fontId="3" fillId="2" borderId="25" xfId="0" applyNumberFormat="1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3" fontId="3" fillId="2" borderId="26" xfId="0" applyNumberFormat="1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4" fontId="1" fillId="2" borderId="27" xfId="0" applyNumberFormat="1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3" fontId="1" fillId="2" borderId="27" xfId="0" applyNumberFormat="1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3" fontId="5" fillId="0" borderId="0" xfId="0" applyNumberFormat="1" applyFont="1"/>
    <xf numFmtId="0" fontId="3" fillId="2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165" fontId="3" fillId="3" borderId="19" xfId="0" applyNumberFormat="1" applyFont="1" applyFill="1" applyBorder="1" applyAlignment="1">
      <alignment horizontal="center"/>
    </xf>
    <xf numFmtId="166" fontId="2" fillId="0" borderId="0" xfId="0" applyNumberFormat="1" applyFont="1"/>
    <xf numFmtId="0" fontId="1" fillId="2" borderId="29" xfId="0" applyFont="1" applyFill="1" applyBorder="1" applyAlignment="1">
      <alignment horizontal="center"/>
    </xf>
    <xf numFmtId="164" fontId="3" fillId="3" borderId="19" xfId="0" applyNumberFormat="1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3" fontId="3" fillId="2" borderId="24" xfId="0" applyNumberFormat="1" applyFont="1" applyFill="1" applyBorder="1" applyAlignment="1">
      <alignment horizontal="center"/>
    </xf>
    <xf numFmtId="165" fontId="3" fillId="2" borderId="10" xfId="0" applyNumberFormat="1" applyFont="1" applyFill="1" applyBorder="1" applyAlignment="1">
      <alignment horizontal="center"/>
    </xf>
    <xf numFmtId="165" fontId="3" fillId="2" borderId="19" xfId="0" applyNumberFormat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165" fontId="3" fillId="2" borderId="21" xfId="0" applyNumberFormat="1" applyFont="1" applyFill="1" applyBorder="1" applyAlignment="1">
      <alignment horizontal="center"/>
    </xf>
    <xf numFmtId="165" fontId="3" fillId="3" borderId="10" xfId="0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164" fontId="3" fillId="2" borderId="31" xfId="0" applyNumberFormat="1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6" xfId="0" applyFont="1" applyFill="1" applyBorder="1"/>
    <xf numFmtId="0" fontId="3" fillId="0" borderId="32" xfId="0" applyFont="1" applyBorder="1" applyAlignment="1">
      <alignment horizontal="center"/>
    </xf>
    <xf numFmtId="4" fontId="3" fillId="2" borderId="32" xfId="0" applyNumberFormat="1" applyFont="1" applyFill="1" applyBorder="1" applyAlignment="1">
      <alignment horizontal="center"/>
    </xf>
    <xf numFmtId="3" fontId="3" fillId="2" borderId="32" xfId="0" applyNumberFormat="1" applyFont="1" applyFill="1" applyBorder="1" applyAlignment="1">
      <alignment horizontal="center"/>
    </xf>
    <xf numFmtId="3" fontId="3" fillId="2" borderId="33" xfId="0" applyNumberFormat="1" applyFont="1" applyFill="1" applyBorder="1" applyAlignment="1">
      <alignment horizontal="center"/>
    </xf>
    <xf numFmtId="164" fontId="3" fillId="2" borderId="34" xfId="0" applyNumberFormat="1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4" fontId="5" fillId="2" borderId="34" xfId="0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4" fontId="1" fillId="2" borderId="34" xfId="0" applyNumberFormat="1" applyFont="1" applyFill="1" applyBorder="1" applyAlignment="1">
      <alignment horizontal="center"/>
    </xf>
    <xf numFmtId="3" fontId="3" fillId="2" borderId="34" xfId="0" applyNumberFormat="1" applyFont="1" applyFill="1" applyBorder="1" applyAlignment="1">
      <alignment horizontal="center"/>
    </xf>
    <xf numFmtId="3" fontId="1" fillId="2" borderId="35" xfId="0" applyNumberFormat="1" applyFont="1" applyFill="1" applyBorder="1" applyAlignment="1">
      <alignment horizontal="center"/>
    </xf>
    <xf numFmtId="164" fontId="3" fillId="2" borderId="30" xfId="0" applyNumberFormat="1" applyFont="1" applyFill="1" applyBorder="1" applyAlignment="1">
      <alignment horizontal="center"/>
    </xf>
    <xf numFmtId="4" fontId="2" fillId="2" borderId="28" xfId="0" applyNumberFormat="1" applyFont="1" applyFill="1" applyBorder="1" applyAlignment="1">
      <alignment horizontal="center"/>
    </xf>
    <xf numFmtId="4" fontId="3" fillId="2" borderId="30" xfId="0" applyNumberFormat="1" applyFont="1" applyFill="1" applyBorder="1" applyAlignment="1">
      <alignment horizontal="center"/>
    </xf>
    <xf numFmtId="3" fontId="3" fillId="2" borderId="30" xfId="0" applyNumberFormat="1" applyFont="1" applyFill="1" applyBorder="1" applyAlignment="1">
      <alignment horizontal="center"/>
    </xf>
    <xf numFmtId="164" fontId="3" fillId="2" borderId="12" xfId="0" applyNumberFormat="1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3" fontId="4" fillId="2" borderId="17" xfId="0" applyNumberFormat="1" applyFont="1" applyFill="1" applyBorder="1" applyAlignment="1">
      <alignment horizontal="center"/>
    </xf>
    <xf numFmtId="164" fontId="2" fillId="2" borderId="19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3" fontId="3" fillId="2" borderId="36" xfId="0" applyNumberFormat="1" applyFont="1" applyFill="1" applyBorder="1" applyAlignment="1">
      <alignment horizontal="center"/>
    </xf>
    <xf numFmtId="0" fontId="6" fillId="2" borderId="0" xfId="0" applyFont="1" applyFill="1"/>
    <xf numFmtId="164" fontId="2" fillId="3" borderId="19" xfId="0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167" fontId="3" fillId="2" borderId="19" xfId="0" applyNumberFormat="1" applyFont="1" applyFill="1" applyBorder="1" applyAlignment="1">
      <alignment horizontal="center"/>
    </xf>
    <xf numFmtId="3" fontId="3" fillId="2" borderId="37" xfId="0" applyNumberFormat="1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2" borderId="23" xfId="0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4" fontId="3" fillId="2" borderId="23" xfId="0" applyNumberFormat="1" applyFont="1" applyFill="1" applyBorder="1" applyAlignment="1">
      <alignment horizontal="center"/>
    </xf>
    <xf numFmtId="3" fontId="3" fillId="2" borderId="23" xfId="0" applyNumberFormat="1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4" fontId="3" fillId="2" borderId="24" xfId="0" applyNumberFormat="1" applyFont="1" applyFill="1" applyBorder="1" applyAlignment="1">
      <alignment horizontal="center"/>
    </xf>
    <xf numFmtId="3" fontId="1" fillId="2" borderId="29" xfId="0" applyNumberFormat="1" applyFont="1" applyFill="1" applyBorder="1" applyAlignment="1">
      <alignment horizontal="center"/>
    </xf>
    <xf numFmtId="165" fontId="3" fillId="2" borderId="39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0" borderId="40" xfId="0" applyFont="1" applyBorder="1" applyAlignment="1">
      <alignment horizontal="center"/>
    </xf>
    <xf numFmtId="4" fontId="3" fillId="2" borderId="41" xfId="0" applyNumberFormat="1" applyFont="1" applyFill="1" applyBorder="1" applyAlignment="1">
      <alignment horizontal="center"/>
    </xf>
    <xf numFmtId="3" fontId="3" fillId="2" borderId="40" xfId="0" applyNumberFormat="1" applyFont="1" applyFill="1" applyBorder="1" applyAlignment="1">
      <alignment horizontal="center"/>
    </xf>
    <xf numFmtId="165" fontId="3" fillId="2" borderId="16" xfId="0" applyNumberFormat="1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164" fontId="3" fillId="2" borderId="42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43" xfId="0" applyFont="1" applyFill="1" applyBorder="1" applyAlignment="1">
      <alignment horizontal="center"/>
    </xf>
    <xf numFmtId="4" fontId="3" fillId="2" borderId="43" xfId="0" applyNumberFormat="1" applyFont="1" applyFill="1" applyBorder="1" applyAlignment="1">
      <alignment horizontal="center"/>
    </xf>
    <xf numFmtId="164" fontId="2" fillId="2" borderId="16" xfId="0" applyNumberFormat="1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30" xfId="0" applyFont="1" applyFill="1" applyBorder="1"/>
    <xf numFmtId="0" fontId="2" fillId="2" borderId="28" xfId="0" applyFont="1" applyFill="1" applyBorder="1"/>
    <xf numFmtId="0" fontId="2" fillId="2" borderId="13" xfId="0" applyFont="1" applyFill="1" applyBorder="1"/>
    <xf numFmtId="0" fontId="2" fillId="0" borderId="30" xfId="0" applyFont="1" applyBorder="1"/>
    <xf numFmtId="0" fontId="2" fillId="0" borderId="11" xfId="0" applyFont="1" applyBorder="1"/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/>
    <xf numFmtId="4" fontId="2" fillId="2" borderId="43" xfId="0" applyNumberFormat="1" applyFont="1" applyFill="1" applyBorder="1" applyAlignment="1">
      <alignment horizontal="center"/>
    </xf>
    <xf numFmtId="3" fontId="2" fillId="2" borderId="11" xfId="0" applyNumberFormat="1" applyFont="1" applyFill="1" applyBorder="1"/>
    <xf numFmtId="3" fontId="2" fillId="2" borderId="18" xfId="0" applyNumberFormat="1" applyFont="1" applyFill="1" applyBorder="1" applyAlignment="1">
      <alignment horizontal="center"/>
    </xf>
    <xf numFmtId="0" fontId="2" fillId="2" borderId="6" xfId="0" applyFont="1" applyFill="1" applyBorder="1"/>
    <xf numFmtId="0" fontId="2" fillId="2" borderId="20" xfId="0" applyFont="1" applyFill="1" applyBorder="1"/>
    <xf numFmtId="0" fontId="2" fillId="0" borderId="12" xfId="0" applyFont="1" applyBorder="1"/>
    <xf numFmtId="4" fontId="2" fillId="2" borderId="41" xfId="0" applyNumberFormat="1" applyFont="1" applyFill="1" applyBorder="1" applyAlignment="1">
      <alignment horizontal="center"/>
    </xf>
    <xf numFmtId="3" fontId="2" fillId="2" borderId="30" xfId="0" applyNumberFormat="1" applyFont="1" applyFill="1" applyBorder="1"/>
    <xf numFmtId="0" fontId="2" fillId="2" borderId="17" xfId="0" applyFont="1" applyFill="1" applyBorder="1"/>
    <xf numFmtId="3" fontId="2" fillId="2" borderId="36" xfId="0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27" xfId="0" applyFont="1" applyFill="1" applyBorder="1"/>
    <xf numFmtId="0" fontId="5" fillId="2" borderId="27" xfId="0" applyFont="1" applyFill="1" applyBorder="1" applyAlignment="1">
      <alignment horizontal="center"/>
    </xf>
    <xf numFmtId="4" fontId="5" fillId="2" borderId="27" xfId="0" applyNumberFormat="1" applyFont="1" applyFill="1" applyBorder="1" applyAlignment="1">
      <alignment horizontal="center"/>
    </xf>
    <xf numFmtId="0" fontId="2" fillId="0" borderId="27" xfId="0" applyFont="1" applyBorder="1"/>
    <xf numFmtId="0" fontId="1" fillId="2" borderId="44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3" fontId="1" fillId="2" borderId="46" xfId="0" applyNumberFormat="1" applyFont="1" applyFill="1" applyBorder="1"/>
    <xf numFmtId="4" fontId="2" fillId="0" borderId="0" xfId="0" applyNumberFormat="1" applyFont="1"/>
    <xf numFmtId="0" fontId="3" fillId="2" borderId="0" xfId="0" applyFont="1" applyFill="1"/>
    <xf numFmtId="0" fontId="5" fillId="0" borderId="0" xfId="0" applyFont="1"/>
    <xf numFmtId="0" fontId="3" fillId="2" borderId="45" xfId="0" applyFont="1" applyFill="1" applyBorder="1" applyAlignment="1">
      <alignment horizontal="center"/>
    </xf>
    <xf numFmtId="4" fontId="1" fillId="2" borderId="45" xfId="0" applyNumberFormat="1" applyFont="1" applyFill="1" applyBorder="1" applyAlignment="1">
      <alignment horizontal="center"/>
    </xf>
    <xf numFmtId="0" fontId="3" fillId="2" borderId="47" xfId="0" applyFont="1" applyFill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right"/>
    </xf>
    <xf numFmtId="0" fontId="3" fillId="4" borderId="14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1" fontId="2" fillId="2" borderId="0" xfId="0" applyNumberFormat="1" applyFont="1" applyFill="1" applyAlignment="1">
      <alignment horizontal="left"/>
    </xf>
    <xf numFmtId="0" fontId="3" fillId="4" borderId="41" xfId="0" applyFont="1" applyFill="1" applyBorder="1" applyAlignment="1">
      <alignment horizontal="center"/>
    </xf>
    <xf numFmtId="11" fontId="2" fillId="4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3" fontId="2" fillId="0" borderId="0" xfId="0" applyNumberFormat="1" applyFont="1" applyAlignment="1">
      <alignment horizontal="right"/>
    </xf>
    <xf numFmtId="49" fontId="3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right"/>
    </xf>
    <xf numFmtId="11" fontId="3" fillId="2" borderId="41" xfId="0" applyNumberFormat="1" applyFont="1" applyFill="1" applyBorder="1" applyAlignment="1">
      <alignment horizontal="center"/>
    </xf>
    <xf numFmtId="49" fontId="3" fillId="4" borderId="14" xfId="0" applyNumberFormat="1" applyFont="1" applyFill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7" fillId="0" borderId="44" xfId="0" applyFont="1" applyBorder="1"/>
    <xf numFmtId="0" fontId="7" fillId="0" borderId="4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586D-0C8E-492C-B1E6-8F0EE6F3A1E3}">
  <dimension ref="A1:U382"/>
  <sheetViews>
    <sheetView tabSelected="1" topLeftCell="A131" workbookViewId="0">
      <selection activeCell="T9" sqref="T9"/>
    </sheetView>
  </sheetViews>
  <sheetFormatPr defaultRowHeight="15.75" x14ac:dyDescent="0.25"/>
  <cols>
    <col min="1" max="1" width="12.125" customWidth="1"/>
    <col min="2" max="2" width="17" customWidth="1"/>
    <col min="3" max="3" width="11.25" customWidth="1"/>
    <col min="4" max="4" width="10.625" customWidth="1"/>
    <col min="5" max="5" width="10" customWidth="1"/>
    <col min="12" max="12" width="13.875" customWidth="1"/>
    <col min="14" max="14" width="11.5" customWidth="1"/>
    <col min="17" max="17" width="12.125" customWidth="1"/>
    <col min="18" max="18" width="13.875" customWidth="1"/>
  </cols>
  <sheetData>
    <row r="1" spans="1:18" ht="16.5" thickBot="1" x14ac:dyDescent="0.3">
      <c r="A1" s="2" t="s">
        <v>0</v>
      </c>
      <c r="B1" s="3" t="s">
        <v>1</v>
      </c>
      <c r="C1" s="3"/>
      <c r="D1" s="3" t="s">
        <v>2</v>
      </c>
      <c r="E1" s="3" t="s">
        <v>3</v>
      </c>
      <c r="F1" s="3"/>
      <c r="G1" s="4" t="s">
        <v>4</v>
      </c>
      <c r="H1" s="5"/>
      <c r="I1" s="6" t="s">
        <v>5</v>
      </c>
      <c r="J1" s="3" t="s">
        <v>3</v>
      </c>
      <c r="K1" s="3" t="s">
        <v>6</v>
      </c>
      <c r="L1" s="4" t="s">
        <v>4</v>
      </c>
      <c r="M1" s="3"/>
      <c r="N1" s="7" t="s">
        <v>7</v>
      </c>
      <c r="O1" s="1"/>
      <c r="P1" s="1"/>
      <c r="Q1" s="1"/>
      <c r="R1" s="1"/>
    </row>
    <row r="2" spans="1:18" ht="16.5" thickBot="1" x14ac:dyDescent="0.3">
      <c r="A2" s="8">
        <v>46235</v>
      </c>
      <c r="B2" s="9" t="s">
        <v>8</v>
      </c>
      <c r="C2" s="10">
        <v>211087</v>
      </c>
      <c r="D2" s="11">
        <v>211335</v>
      </c>
      <c r="E2" s="12">
        <f t="shared" ref="E2:E10" si="0">D2-C2</f>
        <v>248</v>
      </c>
      <c r="F2" s="9">
        <v>40</v>
      </c>
      <c r="G2" s="13">
        <f t="shared" ref="G2:G10" si="1">(F2/E2)*100</f>
        <v>16.129032258064516</v>
      </c>
      <c r="H2" s="14">
        <v>41545</v>
      </c>
      <c r="I2" s="15">
        <v>41811</v>
      </c>
      <c r="J2" s="9">
        <f t="shared" ref="J2:J10" si="2">I2-H2</f>
        <v>266</v>
      </c>
      <c r="K2" s="11">
        <f t="shared" ref="K2:K10" si="3">F2</f>
        <v>40</v>
      </c>
      <c r="L2" s="16">
        <f t="shared" ref="L2:L10" si="4">(K2/J2)*100</f>
        <v>15.037593984962406</v>
      </c>
      <c r="M2" s="17">
        <v>27620</v>
      </c>
      <c r="N2" s="17">
        <f t="shared" ref="N2:N10" si="5">F2*M2</f>
        <v>1104800</v>
      </c>
      <c r="O2" s="1"/>
      <c r="P2" s="1"/>
      <c r="Q2" s="1"/>
      <c r="R2" s="1"/>
    </row>
    <row r="3" spans="1:18" ht="16.5" thickBot="1" x14ac:dyDescent="0.3">
      <c r="A3" s="18">
        <v>46239</v>
      </c>
      <c r="B3" s="19" t="s">
        <v>8</v>
      </c>
      <c r="C3" s="11">
        <v>211335</v>
      </c>
      <c r="D3" s="10">
        <v>211631</v>
      </c>
      <c r="E3" s="20">
        <f t="shared" si="0"/>
        <v>296</v>
      </c>
      <c r="F3" s="19">
        <v>30</v>
      </c>
      <c r="G3" s="21">
        <f t="shared" si="1"/>
        <v>10.135135135135135</v>
      </c>
      <c r="H3" s="15">
        <v>41811</v>
      </c>
      <c r="I3" s="14">
        <v>42119</v>
      </c>
      <c r="J3" s="19">
        <f t="shared" si="2"/>
        <v>308</v>
      </c>
      <c r="K3" s="10">
        <f t="shared" si="3"/>
        <v>30</v>
      </c>
      <c r="L3" s="22">
        <f t="shared" si="4"/>
        <v>9.7402597402597415</v>
      </c>
      <c r="M3" s="17">
        <v>27620</v>
      </c>
      <c r="N3" s="23">
        <f t="shared" si="5"/>
        <v>828600</v>
      </c>
      <c r="O3" s="1">
        <v>1</v>
      </c>
      <c r="P3" s="24" t="s">
        <v>9</v>
      </c>
      <c r="Q3" s="25">
        <f>N19</f>
        <v>7171960</v>
      </c>
      <c r="R3" s="25">
        <f t="shared" ref="R3:R14" si="6">Q3</f>
        <v>7171960</v>
      </c>
    </row>
    <row r="4" spans="1:18" ht="16.5" thickBot="1" x14ac:dyDescent="0.3">
      <c r="A4" s="18">
        <v>46241</v>
      </c>
      <c r="B4" s="19" t="s">
        <v>8</v>
      </c>
      <c r="C4" s="10">
        <v>211631</v>
      </c>
      <c r="D4" s="10">
        <v>211794</v>
      </c>
      <c r="E4" s="20">
        <f t="shared" si="0"/>
        <v>163</v>
      </c>
      <c r="F4" s="10">
        <v>30</v>
      </c>
      <c r="G4" s="21">
        <f t="shared" si="1"/>
        <v>18.404907975460123</v>
      </c>
      <c r="H4" s="14">
        <v>42119</v>
      </c>
      <c r="I4" s="14">
        <v>42298</v>
      </c>
      <c r="J4" s="19">
        <f t="shared" si="2"/>
        <v>179</v>
      </c>
      <c r="K4" s="10">
        <f t="shared" si="3"/>
        <v>30</v>
      </c>
      <c r="L4" s="22">
        <f t="shared" si="4"/>
        <v>16.759776536312849</v>
      </c>
      <c r="M4" s="17">
        <v>27540</v>
      </c>
      <c r="N4" s="23">
        <f t="shared" si="5"/>
        <v>826200</v>
      </c>
      <c r="O4" s="1">
        <v>2</v>
      </c>
      <c r="P4" s="24" t="s">
        <v>10</v>
      </c>
      <c r="Q4" s="25">
        <f>N29</f>
        <v>6316120</v>
      </c>
      <c r="R4" s="25">
        <f t="shared" si="6"/>
        <v>6316120</v>
      </c>
    </row>
    <row r="5" spans="1:18" x14ac:dyDescent="0.25">
      <c r="A5" s="18">
        <v>46244</v>
      </c>
      <c r="B5" s="19" t="s">
        <v>8</v>
      </c>
      <c r="C5" s="10">
        <v>211794</v>
      </c>
      <c r="D5" s="10">
        <v>212111</v>
      </c>
      <c r="E5" s="20">
        <f t="shared" si="0"/>
        <v>317</v>
      </c>
      <c r="F5" s="10">
        <v>45</v>
      </c>
      <c r="G5" s="21">
        <f t="shared" si="1"/>
        <v>14.195583596214512</v>
      </c>
      <c r="H5" s="14">
        <v>42298</v>
      </c>
      <c r="I5" s="14">
        <v>42578</v>
      </c>
      <c r="J5" s="19">
        <f t="shared" si="2"/>
        <v>280</v>
      </c>
      <c r="K5" s="10">
        <f t="shared" si="3"/>
        <v>45</v>
      </c>
      <c r="L5" s="22">
        <f t="shared" si="4"/>
        <v>16.071428571428573</v>
      </c>
      <c r="M5" s="17">
        <v>27540</v>
      </c>
      <c r="N5" s="23">
        <f t="shared" si="5"/>
        <v>1239300</v>
      </c>
      <c r="O5" s="1">
        <v>3</v>
      </c>
      <c r="P5" s="24" t="s">
        <v>11</v>
      </c>
      <c r="Q5" s="25">
        <f>N38</f>
        <v>6903400</v>
      </c>
      <c r="R5" s="25">
        <f t="shared" si="6"/>
        <v>6903400</v>
      </c>
    </row>
    <row r="6" spans="1:18" x14ac:dyDescent="0.25">
      <c r="A6" s="18">
        <v>46248</v>
      </c>
      <c r="B6" s="19" t="s">
        <v>8</v>
      </c>
      <c r="C6" s="10">
        <v>212111</v>
      </c>
      <c r="D6" s="10">
        <v>212436</v>
      </c>
      <c r="E6" s="20">
        <f t="shared" si="0"/>
        <v>325</v>
      </c>
      <c r="F6" s="10">
        <v>45</v>
      </c>
      <c r="G6" s="21">
        <f t="shared" si="1"/>
        <v>13.846153846153847</v>
      </c>
      <c r="H6" s="14">
        <v>42578</v>
      </c>
      <c r="I6" s="14">
        <v>42891</v>
      </c>
      <c r="J6" s="19">
        <f t="shared" si="2"/>
        <v>313</v>
      </c>
      <c r="K6" s="10">
        <f t="shared" si="3"/>
        <v>45</v>
      </c>
      <c r="L6" s="22">
        <f t="shared" si="4"/>
        <v>14.376996805111823</v>
      </c>
      <c r="M6" s="23">
        <v>27230</v>
      </c>
      <c r="N6" s="23">
        <f t="shared" si="5"/>
        <v>1225350</v>
      </c>
      <c r="O6" s="1">
        <v>4</v>
      </c>
      <c r="P6" s="24" t="s">
        <v>12</v>
      </c>
      <c r="Q6" s="25">
        <f>N49</f>
        <v>8567840</v>
      </c>
      <c r="R6" s="25">
        <f t="shared" si="6"/>
        <v>8567840</v>
      </c>
    </row>
    <row r="7" spans="1:18" x14ac:dyDescent="0.25">
      <c r="A7" s="18">
        <v>46252</v>
      </c>
      <c r="B7" s="19" t="s">
        <v>8</v>
      </c>
      <c r="C7" s="10">
        <v>212436</v>
      </c>
      <c r="D7" s="10">
        <v>212707</v>
      </c>
      <c r="E7" s="20">
        <f t="shared" si="0"/>
        <v>271</v>
      </c>
      <c r="F7" s="10">
        <v>40</v>
      </c>
      <c r="G7" s="21">
        <f t="shared" si="1"/>
        <v>14.760147601476014</v>
      </c>
      <c r="H7" s="14">
        <v>42891</v>
      </c>
      <c r="I7" s="14">
        <v>43184</v>
      </c>
      <c r="J7" s="19">
        <f t="shared" si="2"/>
        <v>293</v>
      </c>
      <c r="K7" s="10">
        <f t="shared" si="3"/>
        <v>40</v>
      </c>
      <c r="L7" s="22">
        <f t="shared" si="4"/>
        <v>13.651877133105803</v>
      </c>
      <c r="M7" s="23">
        <v>27230</v>
      </c>
      <c r="N7" s="23">
        <f t="shared" si="5"/>
        <v>1089200</v>
      </c>
      <c r="O7" s="1">
        <v>5</v>
      </c>
      <c r="P7" s="24" t="s">
        <v>13</v>
      </c>
      <c r="Q7" s="25">
        <f>N61</f>
        <v>5200500</v>
      </c>
      <c r="R7" s="25">
        <f t="shared" si="6"/>
        <v>5200500</v>
      </c>
    </row>
    <row r="8" spans="1:18" x14ac:dyDescent="0.25">
      <c r="A8" s="18">
        <v>46255</v>
      </c>
      <c r="B8" s="19" t="s">
        <v>8</v>
      </c>
      <c r="C8" s="10">
        <v>212707</v>
      </c>
      <c r="D8" s="10">
        <v>213023</v>
      </c>
      <c r="E8" s="20">
        <f t="shared" si="0"/>
        <v>316</v>
      </c>
      <c r="F8" s="10">
        <v>40</v>
      </c>
      <c r="G8" s="21">
        <f t="shared" si="1"/>
        <v>12.658227848101266</v>
      </c>
      <c r="H8" s="14">
        <v>43184</v>
      </c>
      <c r="I8" s="14">
        <v>43515</v>
      </c>
      <c r="J8" s="19">
        <f t="shared" si="2"/>
        <v>331</v>
      </c>
      <c r="K8" s="10">
        <f t="shared" si="3"/>
        <v>40</v>
      </c>
      <c r="L8" s="22">
        <f t="shared" si="4"/>
        <v>12.084592145015106</v>
      </c>
      <c r="M8" s="26">
        <v>28540</v>
      </c>
      <c r="N8" s="23">
        <f t="shared" si="5"/>
        <v>1141600</v>
      </c>
      <c r="O8" s="1">
        <v>6</v>
      </c>
      <c r="P8" s="24" t="s">
        <v>14</v>
      </c>
      <c r="Q8" s="25">
        <f>N11</f>
        <v>9719850</v>
      </c>
      <c r="R8" s="25">
        <f t="shared" si="6"/>
        <v>9719850</v>
      </c>
    </row>
    <row r="9" spans="1:18" ht="16.5" thickBot="1" x14ac:dyDescent="0.3">
      <c r="A9" s="27">
        <v>46259</v>
      </c>
      <c r="B9" s="28" t="s">
        <v>8</v>
      </c>
      <c r="C9" s="10">
        <v>213023</v>
      </c>
      <c r="D9" s="29">
        <v>213250</v>
      </c>
      <c r="E9" s="30">
        <f t="shared" si="0"/>
        <v>227</v>
      </c>
      <c r="F9" s="29">
        <v>40</v>
      </c>
      <c r="G9" s="21">
        <f t="shared" si="1"/>
        <v>17.621145374449341</v>
      </c>
      <c r="H9" s="14">
        <v>43515</v>
      </c>
      <c r="I9" s="31">
        <v>43785</v>
      </c>
      <c r="J9" s="28">
        <f t="shared" si="2"/>
        <v>270</v>
      </c>
      <c r="K9" s="29">
        <f t="shared" si="3"/>
        <v>40</v>
      </c>
      <c r="L9" s="32">
        <f t="shared" si="4"/>
        <v>14.814814814814813</v>
      </c>
      <c r="M9" s="26">
        <v>28540</v>
      </c>
      <c r="N9" s="33">
        <f t="shared" si="5"/>
        <v>1141600</v>
      </c>
      <c r="O9" s="1">
        <v>7</v>
      </c>
      <c r="P9" s="24" t="s">
        <v>15</v>
      </c>
      <c r="Q9" s="25">
        <f>N71</f>
        <v>9306230</v>
      </c>
      <c r="R9" s="25">
        <f t="shared" si="6"/>
        <v>9306230</v>
      </c>
    </row>
    <row r="10" spans="1:18" ht="16.5" thickBot="1" x14ac:dyDescent="0.3">
      <c r="A10" s="27">
        <v>46262</v>
      </c>
      <c r="B10" s="28" t="s">
        <v>8</v>
      </c>
      <c r="C10" s="29">
        <v>213250</v>
      </c>
      <c r="D10" s="29">
        <v>213579</v>
      </c>
      <c r="E10" s="30">
        <f t="shared" si="0"/>
        <v>329</v>
      </c>
      <c r="F10" s="29">
        <v>40</v>
      </c>
      <c r="G10" s="21">
        <f t="shared" si="1"/>
        <v>12.158054711246201</v>
      </c>
      <c r="H10" s="31">
        <v>43785</v>
      </c>
      <c r="I10" s="31">
        <v>44101</v>
      </c>
      <c r="J10" s="28">
        <f t="shared" si="2"/>
        <v>316</v>
      </c>
      <c r="K10" s="29">
        <f t="shared" si="3"/>
        <v>40</v>
      </c>
      <c r="L10" s="32">
        <f t="shared" si="4"/>
        <v>12.658227848101266</v>
      </c>
      <c r="M10" s="26">
        <v>28080</v>
      </c>
      <c r="N10" s="33">
        <f t="shared" si="5"/>
        <v>1123200</v>
      </c>
      <c r="O10" s="1">
        <v>8</v>
      </c>
      <c r="P10" s="24" t="s">
        <v>16</v>
      </c>
      <c r="Q10" s="25">
        <f>N80</f>
        <v>8166960</v>
      </c>
      <c r="R10" s="25">
        <f t="shared" si="6"/>
        <v>8166960</v>
      </c>
    </row>
    <row r="11" spans="1:18" ht="16.5" thickBot="1" x14ac:dyDescent="0.3">
      <c r="A11" s="34"/>
      <c r="B11" s="34"/>
      <c r="C11" s="34"/>
      <c r="D11" s="34" t="s">
        <v>17</v>
      </c>
      <c r="E11" s="34">
        <f>SUM(E2:E9)</f>
        <v>2163</v>
      </c>
      <c r="F11" s="34"/>
      <c r="G11" s="35" t="e">
        <f>G2:G9</f>
        <v>#VALUE!</v>
      </c>
      <c r="H11" s="34"/>
      <c r="I11" s="36"/>
      <c r="J11" s="34">
        <f t="shared" ref="J11:K11" si="7">SUM(J2:J9)</f>
        <v>2240</v>
      </c>
      <c r="K11" s="34">
        <f t="shared" si="7"/>
        <v>310</v>
      </c>
      <c r="L11" s="35">
        <f>AVERAGE(L2:L9)</f>
        <v>14.067167466376388</v>
      </c>
      <c r="M11" s="34"/>
      <c r="N11" s="37">
        <f>SUM(N2:N10)</f>
        <v>9719850</v>
      </c>
      <c r="O11" s="1">
        <v>9</v>
      </c>
      <c r="P11" s="24" t="s">
        <v>18</v>
      </c>
      <c r="Q11" s="25">
        <f>N88</f>
        <v>0</v>
      </c>
      <c r="R11" s="25">
        <f t="shared" si="6"/>
        <v>0</v>
      </c>
    </row>
    <row r="12" spans="1:18" ht="16.5" thickBot="1" x14ac:dyDescent="0.3">
      <c r="A12" s="8">
        <v>46240</v>
      </c>
      <c r="B12" s="9" t="s">
        <v>9</v>
      </c>
      <c r="C12" s="19">
        <v>174900</v>
      </c>
      <c r="D12" s="9">
        <v>175256</v>
      </c>
      <c r="E12" s="12">
        <f t="shared" ref="E12:E18" si="8">D12-C12</f>
        <v>356</v>
      </c>
      <c r="F12" s="9">
        <v>46</v>
      </c>
      <c r="G12" s="13">
        <f t="shared" ref="G12:G18" si="9">(F12/E12)*100</f>
        <v>12.921348314606742</v>
      </c>
      <c r="H12" s="14">
        <v>43081</v>
      </c>
      <c r="I12" s="15">
        <v>43431</v>
      </c>
      <c r="J12" s="9">
        <f t="shared" ref="J12:J18" si="10">I12-H12</f>
        <v>350</v>
      </c>
      <c r="K12" s="11">
        <f t="shared" ref="K12:K18" si="11">F12</f>
        <v>46</v>
      </c>
      <c r="L12" s="16">
        <f t="shared" ref="L12:L18" si="12">(K12/J12)*100</f>
        <v>13.142857142857142</v>
      </c>
      <c r="M12" s="38">
        <v>27620</v>
      </c>
      <c r="N12" s="17">
        <f t="shared" ref="N12:N18" si="13">F12*M12</f>
        <v>1270520</v>
      </c>
      <c r="O12" s="1">
        <v>10</v>
      </c>
      <c r="P12" s="24" t="s">
        <v>19</v>
      </c>
      <c r="Q12" s="25">
        <f>N97</f>
        <v>9977260</v>
      </c>
      <c r="R12" s="25">
        <f t="shared" si="6"/>
        <v>9977260</v>
      </c>
    </row>
    <row r="13" spans="1:18" x14ac:dyDescent="0.25">
      <c r="A13" s="39">
        <v>46246</v>
      </c>
      <c r="B13" s="19" t="s">
        <v>9</v>
      </c>
      <c r="C13" s="9">
        <v>175256</v>
      </c>
      <c r="D13" s="19">
        <v>175655</v>
      </c>
      <c r="E13" s="20">
        <f t="shared" si="8"/>
        <v>399</v>
      </c>
      <c r="F13" s="19">
        <v>53</v>
      </c>
      <c r="G13" s="21">
        <f t="shared" si="9"/>
        <v>13.283208020050125</v>
      </c>
      <c r="H13" s="15">
        <v>43431</v>
      </c>
      <c r="I13" s="14">
        <v>43821</v>
      </c>
      <c r="J13" s="19">
        <f t="shared" si="10"/>
        <v>390</v>
      </c>
      <c r="K13" s="10">
        <f t="shared" si="11"/>
        <v>53</v>
      </c>
      <c r="L13" s="22">
        <f t="shared" si="12"/>
        <v>13.589743589743589</v>
      </c>
      <c r="M13" s="40">
        <v>27540</v>
      </c>
      <c r="N13" s="23">
        <f t="shared" si="13"/>
        <v>1459620</v>
      </c>
      <c r="O13" s="1">
        <v>11</v>
      </c>
      <c r="P13" s="24" t="s">
        <v>20</v>
      </c>
      <c r="Q13" s="25">
        <f>N104</f>
        <v>9369050</v>
      </c>
      <c r="R13" s="25">
        <f t="shared" si="6"/>
        <v>9369050</v>
      </c>
    </row>
    <row r="14" spans="1:18" x14ac:dyDescent="0.25">
      <c r="A14" s="39">
        <v>46253</v>
      </c>
      <c r="B14" s="19" t="s">
        <v>9</v>
      </c>
      <c r="C14" s="19">
        <v>175655</v>
      </c>
      <c r="D14" s="19">
        <v>176082</v>
      </c>
      <c r="E14" s="20">
        <f t="shared" si="8"/>
        <v>427</v>
      </c>
      <c r="F14" s="19">
        <v>54</v>
      </c>
      <c r="G14" s="21">
        <f t="shared" si="9"/>
        <v>12.646370023419204</v>
      </c>
      <c r="H14" s="14">
        <v>43821</v>
      </c>
      <c r="I14" s="14">
        <v>44249</v>
      </c>
      <c r="J14" s="19">
        <f t="shared" si="10"/>
        <v>428</v>
      </c>
      <c r="K14" s="10">
        <f t="shared" si="11"/>
        <v>54</v>
      </c>
      <c r="L14" s="22">
        <f t="shared" si="12"/>
        <v>12.616822429906541</v>
      </c>
      <c r="M14" s="40">
        <v>27230</v>
      </c>
      <c r="N14" s="23">
        <f t="shared" si="13"/>
        <v>1470420</v>
      </c>
      <c r="O14" s="1">
        <v>12</v>
      </c>
      <c r="P14" s="24" t="s">
        <v>21</v>
      </c>
      <c r="Q14" s="25">
        <f>N112</f>
        <v>8547530</v>
      </c>
      <c r="R14" s="25">
        <f t="shared" si="6"/>
        <v>8547530</v>
      </c>
    </row>
    <row r="15" spans="1:18" x14ac:dyDescent="0.25">
      <c r="A15" s="39">
        <v>46259</v>
      </c>
      <c r="B15" s="10" t="s">
        <v>9</v>
      </c>
      <c r="C15" s="19">
        <v>176082</v>
      </c>
      <c r="D15" s="10">
        <v>176492</v>
      </c>
      <c r="E15" s="41">
        <f t="shared" si="8"/>
        <v>410</v>
      </c>
      <c r="F15" s="10">
        <v>50</v>
      </c>
      <c r="G15" s="21">
        <f t="shared" si="9"/>
        <v>12.195121951219512</v>
      </c>
      <c r="H15" s="14">
        <v>44249</v>
      </c>
      <c r="I15" s="14">
        <v>44689</v>
      </c>
      <c r="J15" s="19">
        <f t="shared" si="10"/>
        <v>440</v>
      </c>
      <c r="K15" s="10">
        <f t="shared" si="11"/>
        <v>50</v>
      </c>
      <c r="L15" s="22">
        <f t="shared" si="12"/>
        <v>11.363636363636363</v>
      </c>
      <c r="M15" s="23">
        <v>28540</v>
      </c>
      <c r="N15" s="23">
        <f t="shared" si="13"/>
        <v>1427000</v>
      </c>
      <c r="O15" s="1">
        <v>13</v>
      </c>
      <c r="P15" s="24" t="s">
        <v>22</v>
      </c>
      <c r="Q15" s="25">
        <f>N120</f>
        <v>7735640</v>
      </c>
      <c r="R15" s="25">
        <f>N120</f>
        <v>7735640</v>
      </c>
    </row>
    <row r="16" spans="1:18" x14ac:dyDescent="0.25">
      <c r="A16" s="39">
        <v>46263</v>
      </c>
      <c r="B16" s="19" t="s">
        <v>9</v>
      </c>
      <c r="C16" s="10">
        <v>176492</v>
      </c>
      <c r="D16" s="19">
        <v>176902</v>
      </c>
      <c r="E16" s="20">
        <f t="shared" si="8"/>
        <v>410</v>
      </c>
      <c r="F16" s="19">
        <v>55</v>
      </c>
      <c r="G16" s="21">
        <f t="shared" si="9"/>
        <v>13.414634146341465</v>
      </c>
      <c r="H16" s="14">
        <v>44689</v>
      </c>
      <c r="I16" s="14">
        <v>45121</v>
      </c>
      <c r="J16" s="19">
        <f t="shared" si="10"/>
        <v>432</v>
      </c>
      <c r="K16" s="10">
        <f t="shared" si="11"/>
        <v>55</v>
      </c>
      <c r="L16" s="22">
        <f t="shared" si="12"/>
        <v>12.731481481481483</v>
      </c>
      <c r="M16" s="23">
        <v>28080</v>
      </c>
      <c r="N16" s="23">
        <f t="shared" si="13"/>
        <v>1544400</v>
      </c>
      <c r="O16" s="1">
        <v>14</v>
      </c>
      <c r="P16" s="24" t="s">
        <v>23</v>
      </c>
      <c r="Q16" s="25">
        <f>N128</f>
        <v>7825850</v>
      </c>
      <c r="R16" s="25">
        <f t="shared" ref="R16:R29" si="14">Q16</f>
        <v>7825850</v>
      </c>
    </row>
    <row r="17" spans="1:18" x14ac:dyDescent="0.25">
      <c r="A17" s="39"/>
      <c r="B17" s="19" t="s">
        <v>9</v>
      </c>
      <c r="C17" s="19"/>
      <c r="D17" s="19"/>
      <c r="E17" s="20">
        <f t="shared" si="8"/>
        <v>0</v>
      </c>
      <c r="F17" s="19"/>
      <c r="G17" s="21" t="e">
        <f t="shared" si="9"/>
        <v>#DIV/0!</v>
      </c>
      <c r="H17" s="14"/>
      <c r="I17" s="14"/>
      <c r="J17" s="19">
        <f t="shared" si="10"/>
        <v>0</v>
      </c>
      <c r="K17" s="10">
        <f t="shared" si="11"/>
        <v>0</v>
      </c>
      <c r="L17" s="22" t="e">
        <f t="shared" si="12"/>
        <v>#DIV/0!</v>
      </c>
      <c r="M17" s="23"/>
      <c r="N17" s="23">
        <f t="shared" si="13"/>
        <v>0</v>
      </c>
      <c r="O17" s="1">
        <f t="shared" ref="O17:O26" si="15">O16+1</f>
        <v>15</v>
      </c>
      <c r="P17" s="42" t="s">
        <v>24</v>
      </c>
      <c r="Q17" s="43">
        <f>N148</f>
        <v>20385230</v>
      </c>
      <c r="R17" s="25">
        <f t="shared" si="14"/>
        <v>20385230</v>
      </c>
    </row>
    <row r="18" spans="1:18" ht="16.5" thickBot="1" x14ac:dyDescent="0.3">
      <c r="A18" s="44"/>
      <c r="B18" s="28" t="s">
        <v>9</v>
      </c>
      <c r="C18" s="28"/>
      <c r="D18" s="28"/>
      <c r="E18" s="30">
        <f t="shared" si="8"/>
        <v>0</v>
      </c>
      <c r="F18" s="28"/>
      <c r="G18" s="45" t="e">
        <f t="shared" si="9"/>
        <v>#DIV/0!</v>
      </c>
      <c r="H18" s="31"/>
      <c r="I18" s="31"/>
      <c r="J18" s="28">
        <f t="shared" si="10"/>
        <v>0</v>
      </c>
      <c r="K18" s="29">
        <f t="shared" si="11"/>
        <v>0</v>
      </c>
      <c r="L18" s="32" t="e">
        <f t="shared" si="12"/>
        <v>#DIV/0!</v>
      </c>
      <c r="M18" s="33"/>
      <c r="N18" s="33">
        <f t="shared" si="13"/>
        <v>0</v>
      </c>
      <c r="O18" s="1">
        <f t="shared" si="15"/>
        <v>16</v>
      </c>
      <c r="P18" s="42" t="s">
        <v>25</v>
      </c>
      <c r="Q18" s="25">
        <f>N169</f>
        <v>9395800</v>
      </c>
      <c r="R18" s="25">
        <f t="shared" si="14"/>
        <v>9395800</v>
      </c>
    </row>
    <row r="19" spans="1:18" ht="16.5" thickBot="1" x14ac:dyDescent="0.3">
      <c r="A19" s="46"/>
      <c r="B19" s="47"/>
      <c r="C19" s="46"/>
      <c r="D19" s="46" t="s">
        <v>17</v>
      </c>
      <c r="E19" s="46">
        <f>SUM(E12:E18)</f>
        <v>2002</v>
      </c>
      <c r="F19" s="46"/>
      <c r="G19" s="48" t="e">
        <f>AVERAGE(G12:G18)</f>
        <v>#DIV/0!</v>
      </c>
      <c r="H19" s="46"/>
      <c r="I19" s="49"/>
      <c r="J19" s="46">
        <f t="shared" ref="J19:K19" si="16">SUM(J12:J18)</f>
        <v>2040</v>
      </c>
      <c r="K19" s="46">
        <f t="shared" si="16"/>
        <v>258</v>
      </c>
      <c r="L19" s="48" t="e">
        <f>AVERAGE(L12:L18)</f>
        <v>#DIV/0!</v>
      </c>
      <c r="M19" s="47"/>
      <c r="N19" s="50">
        <f>SUM(N12:N18)</f>
        <v>7171960</v>
      </c>
      <c r="O19" s="1">
        <f t="shared" si="15"/>
        <v>17</v>
      </c>
      <c r="P19" s="42" t="s">
        <v>26</v>
      </c>
      <c r="Q19" s="25">
        <f>N178</f>
        <v>11626800</v>
      </c>
      <c r="R19" s="25">
        <f t="shared" si="14"/>
        <v>11626800</v>
      </c>
    </row>
    <row r="20" spans="1:18" ht="16.5" thickBot="1" x14ac:dyDescent="0.3">
      <c r="A20" s="51">
        <v>46235</v>
      </c>
      <c r="B20" s="52" t="s">
        <v>10</v>
      </c>
      <c r="C20" s="53">
        <v>190104</v>
      </c>
      <c r="D20" s="53">
        <v>190390</v>
      </c>
      <c r="E20" s="20">
        <f t="shared" ref="E20:E28" si="17">D20-C20</f>
        <v>286</v>
      </c>
      <c r="F20" s="54">
        <v>42</v>
      </c>
      <c r="G20" s="21">
        <f t="shared" ref="G20:G28" si="18">(F20/E20)*100</f>
        <v>14.685314685314685</v>
      </c>
      <c r="H20" s="53">
        <v>42572</v>
      </c>
      <c r="I20" s="53">
        <v>42897</v>
      </c>
      <c r="J20" s="52">
        <f t="shared" ref="J20:J28" si="19">I20-H20</f>
        <v>325</v>
      </c>
      <c r="K20" s="52">
        <f t="shared" ref="K20:K28" si="20">F20</f>
        <v>42</v>
      </c>
      <c r="L20" s="55">
        <f t="shared" ref="L20:L28" si="21">(K20/J20)*100</f>
        <v>12.923076923076923</v>
      </c>
      <c r="M20" s="56">
        <v>27620</v>
      </c>
      <c r="N20" s="57">
        <f t="shared" ref="N20:N28" si="22">F20*M20</f>
        <v>1160040</v>
      </c>
      <c r="O20" s="1">
        <f t="shared" si="15"/>
        <v>18</v>
      </c>
      <c r="P20" s="42" t="s">
        <v>27</v>
      </c>
      <c r="Q20" s="25">
        <f>N187</f>
        <v>10761090</v>
      </c>
      <c r="R20" s="25">
        <f t="shared" si="14"/>
        <v>10761090</v>
      </c>
    </row>
    <row r="21" spans="1:18" ht="16.5" thickBot="1" x14ac:dyDescent="0.3">
      <c r="A21" s="58">
        <v>46241</v>
      </c>
      <c r="B21" s="53" t="s">
        <v>10</v>
      </c>
      <c r="C21" s="53">
        <v>190390</v>
      </c>
      <c r="D21" s="53">
        <v>190716</v>
      </c>
      <c r="E21" s="20">
        <f t="shared" si="17"/>
        <v>326</v>
      </c>
      <c r="F21" s="59">
        <v>47</v>
      </c>
      <c r="G21" s="21">
        <f t="shared" si="18"/>
        <v>14.417177914110429</v>
      </c>
      <c r="H21" s="53">
        <v>42897</v>
      </c>
      <c r="I21" s="53">
        <v>43247</v>
      </c>
      <c r="J21" s="53">
        <f t="shared" si="19"/>
        <v>350</v>
      </c>
      <c r="K21" s="53">
        <f t="shared" si="20"/>
        <v>47</v>
      </c>
      <c r="L21" s="60">
        <f t="shared" si="21"/>
        <v>13.428571428571429</v>
      </c>
      <c r="M21" s="56">
        <v>27540</v>
      </c>
      <c r="N21" s="61">
        <f t="shared" si="22"/>
        <v>1294380</v>
      </c>
      <c r="O21" s="1">
        <f t="shared" si="15"/>
        <v>19</v>
      </c>
      <c r="P21" s="42" t="s">
        <v>28</v>
      </c>
      <c r="Q21" s="25">
        <f>N196</f>
        <v>16615300</v>
      </c>
      <c r="R21" s="25">
        <f t="shared" si="14"/>
        <v>16615300</v>
      </c>
    </row>
    <row r="22" spans="1:18" x14ac:dyDescent="0.25">
      <c r="A22" s="62">
        <v>46245</v>
      </c>
      <c r="B22" s="53" t="s">
        <v>10</v>
      </c>
      <c r="C22" s="53">
        <v>190716</v>
      </c>
      <c r="D22" s="53">
        <v>191063</v>
      </c>
      <c r="E22" s="20">
        <f t="shared" si="17"/>
        <v>347</v>
      </c>
      <c r="F22" s="63">
        <v>50</v>
      </c>
      <c r="G22" s="21">
        <f t="shared" si="18"/>
        <v>14.409221902017292</v>
      </c>
      <c r="H22" s="53">
        <v>43247</v>
      </c>
      <c r="I22" s="53">
        <v>43587</v>
      </c>
      <c r="J22" s="53">
        <f t="shared" si="19"/>
        <v>340</v>
      </c>
      <c r="K22" s="53">
        <f t="shared" si="20"/>
        <v>50</v>
      </c>
      <c r="L22" s="60">
        <f t="shared" si="21"/>
        <v>14.705882352941178</v>
      </c>
      <c r="M22" s="56">
        <v>27540</v>
      </c>
      <c r="N22" s="61">
        <f t="shared" si="22"/>
        <v>1377000</v>
      </c>
      <c r="O22" s="1">
        <f t="shared" si="15"/>
        <v>20</v>
      </c>
      <c r="P22" s="42" t="s">
        <v>29</v>
      </c>
      <c r="Q22" s="25">
        <f>N205</f>
        <v>10130080</v>
      </c>
      <c r="R22" s="25">
        <f t="shared" si="14"/>
        <v>10130080</v>
      </c>
    </row>
    <row r="23" spans="1:18" x14ac:dyDescent="0.25">
      <c r="A23" s="62">
        <v>46252</v>
      </c>
      <c r="B23" s="53" t="s">
        <v>10</v>
      </c>
      <c r="C23" s="53">
        <v>191063</v>
      </c>
      <c r="D23" s="53">
        <v>191402</v>
      </c>
      <c r="E23" s="20">
        <f t="shared" si="17"/>
        <v>339</v>
      </c>
      <c r="F23" s="63">
        <v>50</v>
      </c>
      <c r="G23" s="21">
        <f t="shared" si="18"/>
        <v>14.749262536873156</v>
      </c>
      <c r="H23" s="53">
        <v>43587</v>
      </c>
      <c r="I23" s="53">
        <v>43899</v>
      </c>
      <c r="J23" s="53">
        <f t="shared" si="19"/>
        <v>312</v>
      </c>
      <c r="K23" s="64">
        <f t="shared" si="20"/>
        <v>50</v>
      </c>
      <c r="L23" s="60">
        <f t="shared" si="21"/>
        <v>16.025641025641026</v>
      </c>
      <c r="M23" s="65">
        <v>27230</v>
      </c>
      <c r="N23" s="61">
        <f t="shared" si="22"/>
        <v>1361500</v>
      </c>
      <c r="O23" s="1">
        <f t="shared" si="15"/>
        <v>21</v>
      </c>
      <c r="P23" s="42" t="s">
        <v>30</v>
      </c>
      <c r="Q23" s="25">
        <f>N213</f>
        <v>13692850</v>
      </c>
      <c r="R23" s="25">
        <f t="shared" si="14"/>
        <v>13692850</v>
      </c>
    </row>
    <row r="24" spans="1:18" x14ac:dyDescent="0.25">
      <c r="A24" s="62">
        <v>46261</v>
      </c>
      <c r="B24" s="53" t="s">
        <v>10</v>
      </c>
      <c r="C24" s="53">
        <v>191402</v>
      </c>
      <c r="D24" s="53">
        <v>191741</v>
      </c>
      <c r="E24" s="20">
        <f t="shared" si="17"/>
        <v>339</v>
      </c>
      <c r="F24" s="63">
        <v>40</v>
      </c>
      <c r="G24" s="21">
        <f t="shared" si="18"/>
        <v>11.799410029498524</v>
      </c>
      <c r="H24" s="53">
        <v>43899</v>
      </c>
      <c r="I24" s="53">
        <v>44219</v>
      </c>
      <c r="J24" s="53">
        <f t="shared" si="19"/>
        <v>320</v>
      </c>
      <c r="K24" s="64">
        <f t="shared" si="20"/>
        <v>40</v>
      </c>
      <c r="L24" s="60">
        <f t="shared" si="21"/>
        <v>12.5</v>
      </c>
      <c r="M24" s="65">
        <v>28080</v>
      </c>
      <c r="N24" s="61">
        <f t="shared" si="22"/>
        <v>1123200</v>
      </c>
      <c r="O24" s="1">
        <f t="shared" si="15"/>
        <v>22</v>
      </c>
      <c r="P24" s="42" t="s">
        <v>31</v>
      </c>
      <c r="Q24" s="25">
        <f>N221</f>
        <v>7732950</v>
      </c>
      <c r="R24" s="25">
        <f t="shared" si="14"/>
        <v>7732950</v>
      </c>
    </row>
    <row r="25" spans="1:18" x14ac:dyDescent="0.25">
      <c r="A25" s="62"/>
      <c r="B25" s="53" t="s">
        <v>10</v>
      </c>
      <c r="C25" s="53"/>
      <c r="D25" s="53"/>
      <c r="E25" s="20">
        <f t="shared" si="17"/>
        <v>0</v>
      </c>
      <c r="F25" s="63"/>
      <c r="G25" s="21" t="e">
        <f t="shared" si="18"/>
        <v>#DIV/0!</v>
      </c>
      <c r="H25" s="53"/>
      <c r="I25" s="53"/>
      <c r="J25" s="53">
        <f t="shared" si="19"/>
        <v>0</v>
      </c>
      <c r="K25" s="64">
        <f t="shared" si="20"/>
        <v>0</v>
      </c>
      <c r="L25" s="60" t="e">
        <f t="shared" si="21"/>
        <v>#DIV/0!</v>
      </c>
      <c r="M25" s="65"/>
      <c r="N25" s="61">
        <f t="shared" si="22"/>
        <v>0</v>
      </c>
      <c r="O25" s="1">
        <f t="shared" si="15"/>
        <v>23</v>
      </c>
      <c r="P25" s="66" t="s">
        <v>32</v>
      </c>
      <c r="Q25" s="25">
        <f>N136</f>
        <v>9537540</v>
      </c>
      <c r="R25" s="25">
        <f t="shared" si="14"/>
        <v>9537540</v>
      </c>
    </row>
    <row r="26" spans="1:18" x14ac:dyDescent="0.25">
      <c r="A26" s="62"/>
      <c r="B26" s="53" t="s">
        <v>10</v>
      </c>
      <c r="C26" s="53"/>
      <c r="D26" s="53"/>
      <c r="E26" s="20">
        <f t="shared" si="17"/>
        <v>0</v>
      </c>
      <c r="F26" s="63"/>
      <c r="G26" s="21" t="e">
        <f t="shared" si="18"/>
        <v>#DIV/0!</v>
      </c>
      <c r="H26" s="53"/>
      <c r="I26" s="53"/>
      <c r="J26" s="53">
        <f t="shared" si="19"/>
        <v>0</v>
      </c>
      <c r="K26" s="64">
        <f t="shared" si="20"/>
        <v>0</v>
      </c>
      <c r="L26" s="60" t="e">
        <f t="shared" si="21"/>
        <v>#DIV/0!</v>
      </c>
      <c r="M26" s="65"/>
      <c r="N26" s="61">
        <f t="shared" si="22"/>
        <v>0</v>
      </c>
      <c r="O26" s="1">
        <f t="shared" si="15"/>
        <v>24</v>
      </c>
      <c r="P26" s="67" t="s">
        <v>33</v>
      </c>
      <c r="Q26" s="25">
        <f>N229</f>
        <v>7517360</v>
      </c>
      <c r="R26" s="25">
        <f t="shared" si="14"/>
        <v>7517360</v>
      </c>
    </row>
    <row r="27" spans="1:18" x14ac:dyDescent="0.25">
      <c r="A27" s="62"/>
      <c r="B27" s="53" t="s">
        <v>10</v>
      </c>
      <c r="C27" s="53"/>
      <c r="D27" s="53"/>
      <c r="E27" s="20">
        <f t="shared" si="17"/>
        <v>0</v>
      </c>
      <c r="F27" s="63"/>
      <c r="G27" s="21" t="e">
        <f t="shared" si="18"/>
        <v>#DIV/0!</v>
      </c>
      <c r="H27" s="53"/>
      <c r="I27" s="53"/>
      <c r="J27" s="53">
        <f t="shared" si="19"/>
        <v>0</v>
      </c>
      <c r="K27" s="64">
        <f t="shared" si="20"/>
        <v>0</v>
      </c>
      <c r="L27" s="60" t="e">
        <f t="shared" si="21"/>
        <v>#DIV/0!</v>
      </c>
      <c r="M27" s="65"/>
      <c r="N27" s="61">
        <f t="shared" si="22"/>
        <v>0</v>
      </c>
      <c r="O27" s="1">
        <v>25</v>
      </c>
      <c r="P27" s="67" t="s">
        <v>34</v>
      </c>
      <c r="Q27" s="25">
        <f>N237</f>
        <v>3312420</v>
      </c>
      <c r="R27" s="25">
        <f t="shared" si="14"/>
        <v>3312420</v>
      </c>
    </row>
    <row r="28" spans="1:18" ht="16.5" thickBot="1" x14ac:dyDescent="0.3">
      <c r="A28" s="68"/>
      <c r="B28" s="53" t="s">
        <v>10</v>
      </c>
      <c r="C28" s="53"/>
      <c r="D28" s="69"/>
      <c r="E28" s="20">
        <f t="shared" si="17"/>
        <v>0</v>
      </c>
      <c r="F28" s="63"/>
      <c r="G28" s="70" t="e">
        <f t="shared" si="18"/>
        <v>#DIV/0!</v>
      </c>
      <c r="H28" s="71"/>
      <c r="I28" s="72"/>
      <c r="J28" s="73">
        <f t="shared" si="19"/>
        <v>0</v>
      </c>
      <c r="K28" s="64">
        <f t="shared" si="20"/>
        <v>0</v>
      </c>
      <c r="L28" s="74" t="e">
        <f t="shared" si="21"/>
        <v>#DIV/0!</v>
      </c>
      <c r="M28" s="75"/>
      <c r="N28" s="76">
        <f t="shared" si="22"/>
        <v>0</v>
      </c>
      <c r="O28" s="1">
        <v>26</v>
      </c>
      <c r="P28" s="67" t="s">
        <v>35</v>
      </c>
      <c r="Q28" s="25">
        <f>N245</f>
        <v>9444000</v>
      </c>
      <c r="R28" s="25">
        <f t="shared" si="14"/>
        <v>9444000</v>
      </c>
    </row>
    <row r="29" spans="1:18" ht="16.5" thickBot="1" x14ac:dyDescent="0.3">
      <c r="A29" s="77"/>
      <c r="B29" s="78"/>
      <c r="C29" s="77"/>
      <c r="D29" s="77" t="s">
        <v>17</v>
      </c>
      <c r="E29" s="77">
        <f>SUM(E20:E26)</f>
        <v>1637</v>
      </c>
      <c r="F29" s="77"/>
      <c r="G29" s="79" t="e">
        <f>AVERAGE(G20:G26)</f>
        <v>#DIV/0!</v>
      </c>
      <c r="H29" s="77"/>
      <c r="I29" s="80"/>
      <c r="J29" s="77">
        <f t="shared" ref="J29:K29" si="23">SUM(J20:J26)</f>
        <v>1647</v>
      </c>
      <c r="K29" s="77">
        <f t="shared" si="23"/>
        <v>229</v>
      </c>
      <c r="L29" s="79" t="e">
        <f>AVERAGE(L20:L26)</f>
        <v>#DIV/0!</v>
      </c>
      <c r="M29" s="78"/>
      <c r="N29" s="81">
        <f>SUM(N20:N28)</f>
        <v>6316120</v>
      </c>
      <c r="O29" s="1">
        <v>27</v>
      </c>
      <c r="P29" s="67" t="s">
        <v>36</v>
      </c>
      <c r="Q29" s="25">
        <f>N160</f>
        <v>9981890</v>
      </c>
      <c r="R29" s="25">
        <f t="shared" si="14"/>
        <v>9981890</v>
      </c>
    </row>
    <row r="30" spans="1:18" ht="16.5" thickBot="1" x14ac:dyDescent="0.3">
      <c r="A30" s="51">
        <v>46237</v>
      </c>
      <c r="B30" s="52" t="s">
        <v>11</v>
      </c>
      <c r="C30" s="53">
        <v>195947</v>
      </c>
      <c r="D30" s="73">
        <v>196260</v>
      </c>
      <c r="E30" s="82">
        <f t="shared" ref="E30:E37" si="24">D30-C30</f>
        <v>313</v>
      </c>
      <c r="F30" s="54">
        <v>40</v>
      </c>
      <c r="G30" s="21">
        <f t="shared" ref="G30:G37" si="25">(F30/E30)*100</f>
        <v>12.779552715654951</v>
      </c>
      <c r="H30" s="71">
        <v>37593</v>
      </c>
      <c r="I30" s="83">
        <v>37913</v>
      </c>
      <c r="J30" s="52">
        <f t="shared" ref="J30:J37" si="26">I30-H30</f>
        <v>320</v>
      </c>
      <c r="K30" s="64">
        <f t="shared" ref="K30:K37" si="27">F30</f>
        <v>40</v>
      </c>
      <c r="L30" s="55">
        <f t="shared" ref="L30:L37" si="28">(K30/J30)*100</f>
        <v>12.5</v>
      </c>
      <c r="M30" s="56">
        <v>27620</v>
      </c>
      <c r="N30" s="57">
        <f t="shared" ref="N30:N37" si="29">F30*M30</f>
        <v>1104800</v>
      </c>
      <c r="O30" s="1"/>
      <c r="P30" s="1"/>
      <c r="Q30" s="84">
        <f t="shared" ref="Q30:R30" si="30">SUM(Q3:Q29)</f>
        <v>244941500</v>
      </c>
      <c r="R30" s="84">
        <f t="shared" si="30"/>
        <v>244941500</v>
      </c>
    </row>
    <row r="31" spans="1:18" ht="16.5" thickBot="1" x14ac:dyDescent="0.3">
      <c r="A31" s="62">
        <v>46241</v>
      </c>
      <c r="B31" s="53" t="s">
        <v>11</v>
      </c>
      <c r="C31" s="73">
        <v>196260</v>
      </c>
      <c r="D31" s="53">
        <v>196636</v>
      </c>
      <c r="E31" s="20">
        <f t="shared" si="24"/>
        <v>376</v>
      </c>
      <c r="F31" s="63">
        <v>50</v>
      </c>
      <c r="G31" s="21">
        <f t="shared" si="25"/>
        <v>13.297872340425531</v>
      </c>
      <c r="H31" s="83">
        <v>37913</v>
      </c>
      <c r="I31" s="71">
        <v>38213</v>
      </c>
      <c r="J31" s="53">
        <f t="shared" si="26"/>
        <v>300</v>
      </c>
      <c r="K31" s="64">
        <f t="shared" si="27"/>
        <v>50</v>
      </c>
      <c r="L31" s="60">
        <f t="shared" si="28"/>
        <v>16.666666666666664</v>
      </c>
      <c r="M31" s="56">
        <v>27540</v>
      </c>
      <c r="N31" s="61">
        <f t="shared" si="29"/>
        <v>1377000</v>
      </c>
      <c r="O31" s="1"/>
      <c r="P31" s="1"/>
      <c r="Q31" s="1"/>
      <c r="R31" s="1">
        <f t="shared" ref="R31:R44" si="31">Q31</f>
        <v>0</v>
      </c>
    </row>
    <row r="32" spans="1:18" ht="16.5" thickBot="1" x14ac:dyDescent="0.3">
      <c r="A32" s="62">
        <v>46247</v>
      </c>
      <c r="B32" s="52" t="s">
        <v>11</v>
      </c>
      <c r="C32" s="53">
        <v>196636</v>
      </c>
      <c r="D32" s="53">
        <v>196991</v>
      </c>
      <c r="E32" s="20">
        <f t="shared" si="24"/>
        <v>355</v>
      </c>
      <c r="F32" s="63">
        <v>40</v>
      </c>
      <c r="G32" s="21">
        <f t="shared" si="25"/>
        <v>11.267605633802818</v>
      </c>
      <c r="H32" s="71">
        <v>38213</v>
      </c>
      <c r="I32" s="71">
        <v>38516</v>
      </c>
      <c r="J32" s="53">
        <f t="shared" si="26"/>
        <v>303</v>
      </c>
      <c r="K32" s="64">
        <f t="shared" si="27"/>
        <v>40</v>
      </c>
      <c r="L32" s="60">
        <f t="shared" si="28"/>
        <v>13.201320132013199</v>
      </c>
      <c r="M32" s="56">
        <v>27540</v>
      </c>
      <c r="N32" s="61">
        <f t="shared" si="29"/>
        <v>1101600</v>
      </c>
      <c r="O32" s="1"/>
      <c r="P32" s="1"/>
      <c r="Q32" s="1"/>
      <c r="R32" s="1">
        <f t="shared" si="31"/>
        <v>0</v>
      </c>
    </row>
    <row r="33" spans="1:18" ht="16.5" thickBot="1" x14ac:dyDescent="0.3">
      <c r="A33" s="62">
        <v>46251</v>
      </c>
      <c r="B33" s="53" t="s">
        <v>11</v>
      </c>
      <c r="C33" s="53">
        <v>196991</v>
      </c>
      <c r="D33" s="53">
        <v>197277</v>
      </c>
      <c r="E33" s="20">
        <f t="shared" si="24"/>
        <v>286</v>
      </c>
      <c r="F33" s="63">
        <v>40</v>
      </c>
      <c r="G33" s="21">
        <f t="shared" si="25"/>
        <v>13.986013986013987</v>
      </c>
      <c r="H33" s="71">
        <v>38516</v>
      </c>
      <c r="I33" s="71">
        <v>38786</v>
      </c>
      <c r="J33" s="53">
        <f t="shared" si="26"/>
        <v>270</v>
      </c>
      <c r="K33" s="64">
        <f t="shared" si="27"/>
        <v>40</v>
      </c>
      <c r="L33" s="60">
        <f t="shared" si="28"/>
        <v>14.814814814814813</v>
      </c>
      <c r="M33" s="56">
        <v>27230</v>
      </c>
      <c r="N33" s="61">
        <f t="shared" si="29"/>
        <v>1089200</v>
      </c>
      <c r="O33" s="1"/>
      <c r="P33" s="1"/>
      <c r="Q33" s="1"/>
      <c r="R33" s="1">
        <f t="shared" si="31"/>
        <v>0</v>
      </c>
    </row>
    <row r="34" spans="1:18" ht="16.5" thickBot="1" x14ac:dyDescent="0.3">
      <c r="A34" s="62">
        <v>46254</v>
      </c>
      <c r="B34" s="53" t="s">
        <v>11</v>
      </c>
      <c r="C34" s="53">
        <v>197277</v>
      </c>
      <c r="D34" s="53">
        <v>197546</v>
      </c>
      <c r="E34" s="20">
        <f t="shared" si="24"/>
        <v>269</v>
      </c>
      <c r="F34" s="63">
        <v>40</v>
      </c>
      <c r="G34" s="21">
        <f t="shared" si="25"/>
        <v>14.869888475836431</v>
      </c>
      <c r="H34" s="71">
        <v>38786</v>
      </c>
      <c r="I34" s="71">
        <v>39103</v>
      </c>
      <c r="J34" s="53">
        <f t="shared" si="26"/>
        <v>317</v>
      </c>
      <c r="K34" s="64">
        <f t="shared" si="27"/>
        <v>40</v>
      </c>
      <c r="L34" s="60">
        <f t="shared" si="28"/>
        <v>12.618296529968454</v>
      </c>
      <c r="M34" s="56">
        <v>27230</v>
      </c>
      <c r="N34" s="61">
        <f t="shared" si="29"/>
        <v>1089200</v>
      </c>
      <c r="O34" s="1"/>
      <c r="P34" s="1"/>
      <c r="Q34" s="1"/>
      <c r="R34" s="1">
        <f t="shared" si="31"/>
        <v>0</v>
      </c>
    </row>
    <row r="35" spans="1:18" x14ac:dyDescent="0.25">
      <c r="A35" s="62">
        <v>46259</v>
      </c>
      <c r="B35" s="53" t="s">
        <v>11</v>
      </c>
      <c r="C35" s="53">
        <v>197546</v>
      </c>
      <c r="D35" s="53">
        <v>197893</v>
      </c>
      <c r="E35" s="20">
        <f t="shared" si="24"/>
        <v>347</v>
      </c>
      <c r="F35" s="63">
        <v>40</v>
      </c>
      <c r="G35" s="21">
        <f t="shared" si="25"/>
        <v>11.527377521613833</v>
      </c>
      <c r="H35" s="71">
        <v>39103</v>
      </c>
      <c r="I35" s="71">
        <v>39454</v>
      </c>
      <c r="J35" s="53">
        <f t="shared" si="26"/>
        <v>351</v>
      </c>
      <c r="K35" s="64">
        <f t="shared" si="27"/>
        <v>40</v>
      </c>
      <c r="L35" s="60">
        <f t="shared" si="28"/>
        <v>11.396011396011396</v>
      </c>
      <c r="M35" s="56">
        <v>28540</v>
      </c>
      <c r="N35" s="61">
        <f t="shared" si="29"/>
        <v>1141600</v>
      </c>
      <c r="O35" s="1"/>
      <c r="P35" s="1"/>
      <c r="Q35" s="1"/>
      <c r="R35" s="1">
        <f t="shared" si="31"/>
        <v>0</v>
      </c>
    </row>
    <row r="36" spans="1:18" x14ac:dyDescent="0.25">
      <c r="A36" s="62"/>
      <c r="B36" s="53" t="s">
        <v>11</v>
      </c>
      <c r="C36" s="53"/>
      <c r="D36" s="53"/>
      <c r="E36" s="20">
        <f t="shared" si="24"/>
        <v>0</v>
      </c>
      <c r="F36" s="63"/>
      <c r="G36" s="21" t="e">
        <f t="shared" si="25"/>
        <v>#DIV/0!</v>
      </c>
      <c r="H36" s="71"/>
      <c r="I36" s="71"/>
      <c r="J36" s="53">
        <f t="shared" si="26"/>
        <v>0</v>
      </c>
      <c r="K36" s="64">
        <f t="shared" si="27"/>
        <v>0</v>
      </c>
      <c r="L36" s="60" t="e">
        <f t="shared" si="28"/>
        <v>#DIV/0!</v>
      </c>
      <c r="M36" s="65"/>
      <c r="N36" s="61">
        <f t="shared" si="29"/>
        <v>0</v>
      </c>
      <c r="O36" s="1"/>
      <c r="P36" s="1"/>
      <c r="Q36" s="1"/>
      <c r="R36" s="1">
        <f t="shared" si="31"/>
        <v>0</v>
      </c>
    </row>
    <row r="37" spans="1:18" ht="16.5" thickBot="1" x14ac:dyDescent="0.3">
      <c r="A37" s="62"/>
      <c r="B37" s="53" t="s">
        <v>11</v>
      </c>
      <c r="C37" s="53"/>
      <c r="D37" s="73"/>
      <c r="E37" s="20">
        <f t="shared" si="24"/>
        <v>0</v>
      </c>
      <c r="F37" s="63"/>
      <c r="G37" s="70" t="e">
        <f t="shared" si="25"/>
        <v>#DIV/0!</v>
      </c>
      <c r="H37" s="71"/>
      <c r="I37" s="83"/>
      <c r="J37" s="73">
        <f t="shared" si="26"/>
        <v>0</v>
      </c>
      <c r="K37" s="64">
        <f t="shared" si="27"/>
        <v>0</v>
      </c>
      <c r="L37" s="74" t="e">
        <f t="shared" si="28"/>
        <v>#DIV/0!</v>
      </c>
      <c r="M37" s="65"/>
      <c r="N37" s="76">
        <f t="shared" si="29"/>
        <v>0</v>
      </c>
      <c r="O37" s="1"/>
      <c r="P37" s="1"/>
      <c r="Q37" s="1"/>
      <c r="R37" s="1">
        <f t="shared" si="31"/>
        <v>0</v>
      </c>
    </row>
    <row r="38" spans="1:18" ht="16.5" thickBot="1" x14ac:dyDescent="0.3">
      <c r="A38" s="77"/>
      <c r="B38" s="78"/>
      <c r="C38" s="77"/>
      <c r="D38" s="77" t="s">
        <v>17</v>
      </c>
      <c r="E38" s="77">
        <f>SUM(E30:E37)</f>
        <v>1946</v>
      </c>
      <c r="F38" s="54"/>
      <c r="G38" s="79" t="e">
        <f>AVERAGE(G30:G37)</f>
        <v>#DIV/0!</v>
      </c>
      <c r="H38" s="77"/>
      <c r="I38" s="80"/>
      <c r="J38" s="77">
        <f t="shared" ref="J38:K38" si="32">SUM(J30:J37)</f>
        <v>1861</v>
      </c>
      <c r="K38" s="77">
        <f t="shared" si="32"/>
        <v>250</v>
      </c>
      <c r="L38" s="79" t="e">
        <f>AVERAGE(L30:L37)</f>
        <v>#DIV/0!</v>
      </c>
      <c r="M38" s="78"/>
      <c r="N38" s="81">
        <f>SUM(N30:N37)</f>
        <v>6903400</v>
      </c>
      <c r="O38" s="1"/>
      <c r="P38" s="1"/>
      <c r="Q38" s="1"/>
      <c r="R38" s="1">
        <f t="shared" si="31"/>
        <v>0</v>
      </c>
    </row>
    <row r="39" spans="1:18" x14ac:dyDescent="0.25">
      <c r="A39" s="85" t="s">
        <v>37</v>
      </c>
      <c r="B39" s="52" t="s">
        <v>12</v>
      </c>
      <c r="C39" s="53">
        <v>185405</v>
      </c>
      <c r="D39" s="53">
        <v>185835</v>
      </c>
      <c r="E39" s="82">
        <f t="shared" ref="E39:E48" si="33">D39-C39</f>
        <v>430</v>
      </c>
      <c r="F39" s="54">
        <v>45</v>
      </c>
      <c r="G39" s="21">
        <f t="shared" ref="G39:G48" si="34">(F39/E39)*100</f>
        <v>10.465116279069768</v>
      </c>
      <c r="H39" s="71">
        <v>44562</v>
      </c>
      <c r="I39" s="71">
        <v>45015</v>
      </c>
      <c r="J39" s="52">
        <f t="shared" ref="J39:J48" si="35">I39-H39</f>
        <v>453</v>
      </c>
      <c r="K39" s="86">
        <f t="shared" ref="K39:K48" si="36">F39</f>
        <v>45</v>
      </c>
      <c r="L39" s="55">
        <f t="shared" ref="L39:L48" si="37">(K39/J39)*100</f>
        <v>9.9337748344370862</v>
      </c>
      <c r="M39" s="73">
        <v>27620</v>
      </c>
      <c r="N39" s="57">
        <f t="shared" ref="N39:N48" si="38">F39*M39</f>
        <v>1242900</v>
      </c>
      <c r="O39" s="1"/>
      <c r="P39" s="1"/>
      <c r="Q39" s="1"/>
      <c r="R39" s="1">
        <f t="shared" si="31"/>
        <v>0</v>
      </c>
    </row>
    <row r="40" spans="1:18" x14ac:dyDescent="0.25">
      <c r="A40" s="62">
        <v>46244</v>
      </c>
      <c r="B40" s="53" t="s">
        <v>12</v>
      </c>
      <c r="C40" s="53">
        <v>185835</v>
      </c>
      <c r="D40" s="53">
        <v>186235</v>
      </c>
      <c r="E40" s="20">
        <f t="shared" si="33"/>
        <v>400</v>
      </c>
      <c r="F40" s="63">
        <v>40</v>
      </c>
      <c r="G40" s="21">
        <f t="shared" si="34"/>
        <v>10</v>
      </c>
      <c r="H40" s="71">
        <v>45015</v>
      </c>
      <c r="I40" s="53">
        <v>45410</v>
      </c>
      <c r="J40" s="53">
        <f t="shared" si="35"/>
        <v>395</v>
      </c>
      <c r="K40" s="64">
        <f t="shared" si="36"/>
        <v>40</v>
      </c>
      <c r="L40" s="60">
        <f t="shared" si="37"/>
        <v>10.126582278481013</v>
      </c>
      <c r="M40" s="73">
        <v>27540</v>
      </c>
      <c r="N40" s="61">
        <f t="shared" si="38"/>
        <v>1101600</v>
      </c>
      <c r="O40" s="1"/>
      <c r="P40" s="1"/>
      <c r="Q40" s="1"/>
      <c r="R40" s="1">
        <f t="shared" si="31"/>
        <v>0</v>
      </c>
    </row>
    <row r="41" spans="1:18" x14ac:dyDescent="0.25">
      <c r="A41" s="62">
        <v>46247</v>
      </c>
      <c r="B41" s="53" t="s">
        <v>12</v>
      </c>
      <c r="C41" s="53">
        <v>186235</v>
      </c>
      <c r="D41" s="53">
        <v>186582</v>
      </c>
      <c r="E41" s="20">
        <f t="shared" si="33"/>
        <v>347</v>
      </c>
      <c r="F41" s="63">
        <v>44</v>
      </c>
      <c r="G41" s="21">
        <f t="shared" si="34"/>
        <v>12.680115273775217</v>
      </c>
      <c r="H41" s="53">
        <v>45410</v>
      </c>
      <c r="I41" s="53">
        <v>45787</v>
      </c>
      <c r="J41" s="53">
        <f t="shared" si="35"/>
        <v>377</v>
      </c>
      <c r="K41" s="53">
        <f t="shared" si="36"/>
        <v>44</v>
      </c>
      <c r="L41" s="60">
        <f t="shared" si="37"/>
        <v>11.671087533156498</v>
      </c>
      <c r="M41" s="73">
        <v>27230</v>
      </c>
      <c r="N41" s="61">
        <f t="shared" si="38"/>
        <v>1198120</v>
      </c>
      <c r="O41" s="1"/>
      <c r="P41" s="1"/>
      <c r="Q41" s="1"/>
      <c r="R41" s="1">
        <f t="shared" si="31"/>
        <v>0</v>
      </c>
    </row>
    <row r="42" spans="1:18" x14ac:dyDescent="0.25">
      <c r="A42" s="62">
        <v>46253</v>
      </c>
      <c r="B42" s="53" t="s">
        <v>12</v>
      </c>
      <c r="C42" s="53">
        <v>186582</v>
      </c>
      <c r="D42" s="53">
        <v>187023</v>
      </c>
      <c r="E42" s="20">
        <f t="shared" si="33"/>
        <v>441</v>
      </c>
      <c r="F42" s="63">
        <v>50</v>
      </c>
      <c r="G42" s="21">
        <f t="shared" si="34"/>
        <v>11.337868480725625</v>
      </c>
      <c r="H42" s="53">
        <v>45787</v>
      </c>
      <c r="I42" s="71">
        <v>46202</v>
      </c>
      <c r="J42" s="53">
        <f t="shared" si="35"/>
        <v>415</v>
      </c>
      <c r="K42" s="64">
        <f t="shared" si="36"/>
        <v>50</v>
      </c>
      <c r="L42" s="60">
        <f t="shared" si="37"/>
        <v>12.048192771084338</v>
      </c>
      <c r="M42" s="73">
        <v>27230</v>
      </c>
      <c r="N42" s="61">
        <f t="shared" si="38"/>
        <v>1361500</v>
      </c>
      <c r="O42" s="1"/>
      <c r="P42" s="1"/>
      <c r="Q42" s="1"/>
      <c r="R42" s="1">
        <f t="shared" si="31"/>
        <v>0</v>
      </c>
    </row>
    <row r="43" spans="1:18" x14ac:dyDescent="0.25">
      <c r="A43" s="62">
        <v>46261</v>
      </c>
      <c r="B43" s="53" t="s">
        <v>12</v>
      </c>
      <c r="C43" s="53">
        <v>187023</v>
      </c>
      <c r="D43" s="53">
        <v>187463</v>
      </c>
      <c r="E43" s="20">
        <f t="shared" si="33"/>
        <v>440</v>
      </c>
      <c r="F43" s="63">
        <v>50</v>
      </c>
      <c r="G43" s="21">
        <f t="shared" si="34"/>
        <v>11.363636363636363</v>
      </c>
      <c r="H43" s="71">
        <v>46202</v>
      </c>
      <c r="I43" s="71">
        <v>46627</v>
      </c>
      <c r="J43" s="53">
        <f t="shared" si="35"/>
        <v>425</v>
      </c>
      <c r="K43" s="64">
        <f t="shared" si="36"/>
        <v>50</v>
      </c>
      <c r="L43" s="60">
        <f t="shared" si="37"/>
        <v>11.76470588235294</v>
      </c>
      <c r="M43" s="73">
        <v>28540</v>
      </c>
      <c r="N43" s="61">
        <f t="shared" si="38"/>
        <v>1427000</v>
      </c>
      <c r="O43" s="1"/>
      <c r="P43" s="1"/>
      <c r="Q43" s="1"/>
      <c r="R43" s="1">
        <f t="shared" si="31"/>
        <v>0</v>
      </c>
    </row>
    <row r="44" spans="1:18" x14ac:dyDescent="0.25">
      <c r="A44" s="62">
        <v>46265</v>
      </c>
      <c r="B44" s="53" t="s">
        <v>12</v>
      </c>
      <c r="C44" s="53">
        <v>187463</v>
      </c>
      <c r="D44" s="53">
        <v>187923</v>
      </c>
      <c r="E44" s="20">
        <f t="shared" si="33"/>
        <v>460</v>
      </c>
      <c r="F44" s="63">
        <v>39</v>
      </c>
      <c r="G44" s="21">
        <f t="shared" si="34"/>
        <v>8.4782608695652169</v>
      </c>
      <c r="H44" s="71">
        <v>46627</v>
      </c>
      <c r="I44" s="71">
        <v>47026</v>
      </c>
      <c r="J44" s="53">
        <f t="shared" si="35"/>
        <v>399</v>
      </c>
      <c r="K44" s="64">
        <f t="shared" si="36"/>
        <v>39</v>
      </c>
      <c r="L44" s="60">
        <f t="shared" si="37"/>
        <v>9.7744360902255636</v>
      </c>
      <c r="M44" s="73">
        <v>28080</v>
      </c>
      <c r="N44" s="61">
        <f t="shared" si="38"/>
        <v>1095120</v>
      </c>
      <c r="O44" s="1"/>
      <c r="P44" s="1"/>
      <c r="Q44" s="1"/>
      <c r="R44" s="1">
        <f t="shared" si="31"/>
        <v>0</v>
      </c>
    </row>
    <row r="45" spans="1:18" x14ac:dyDescent="0.25">
      <c r="A45" s="62">
        <v>46256</v>
      </c>
      <c r="B45" s="53" t="s">
        <v>12</v>
      </c>
      <c r="C45" s="53"/>
      <c r="D45" s="53"/>
      <c r="E45" s="20">
        <f t="shared" si="33"/>
        <v>0</v>
      </c>
      <c r="F45" s="63">
        <v>40</v>
      </c>
      <c r="G45" s="21" t="e">
        <f t="shared" si="34"/>
        <v>#DIV/0!</v>
      </c>
      <c r="H45" s="71"/>
      <c r="I45" s="71"/>
      <c r="J45" s="53">
        <f t="shared" si="35"/>
        <v>0</v>
      </c>
      <c r="K45" s="64">
        <f t="shared" si="36"/>
        <v>40</v>
      </c>
      <c r="L45" s="60" t="e">
        <f t="shared" si="37"/>
        <v>#DIV/0!</v>
      </c>
      <c r="M45" s="73">
        <v>28540</v>
      </c>
      <c r="N45" s="61">
        <f t="shared" si="38"/>
        <v>1141600</v>
      </c>
      <c r="O45" s="1"/>
      <c r="P45" s="1"/>
      <c r="Q45" s="1"/>
      <c r="R45" s="1"/>
    </row>
    <row r="46" spans="1:18" x14ac:dyDescent="0.25">
      <c r="A46" s="62"/>
      <c r="B46" s="53" t="s">
        <v>12</v>
      </c>
      <c r="C46" s="53"/>
      <c r="D46" s="53"/>
      <c r="E46" s="20">
        <f t="shared" si="33"/>
        <v>0</v>
      </c>
      <c r="F46" s="63"/>
      <c r="G46" s="21" t="e">
        <f t="shared" si="34"/>
        <v>#DIV/0!</v>
      </c>
      <c r="H46" s="71"/>
      <c r="I46" s="71"/>
      <c r="J46" s="53">
        <f t="shared" si="35"/>
        <v>0</v>
      </c>
      <c r="K46" s="64">
        <f t="shared" si="36"/>
        <v>0</v>
      </c>
      <c r="L46" s="60" t="e">
        <f t="shared" si="37"/>
        <v>#DIV/0!</v>
      </c>
      <c r="M46" s="65"/>
      <c r="N46" s="61">
        <f t="shared" si="38"/>
        <v>0</v>
      </c>
      <c r="O46" s="1"/>
      <c r="P46" s="1"/>
      <c r="Q46" s="1"/>
      <c r="R46" s="1"/>
    </row>
    <row r="47" spans="1:18" x14ac:dyDescent="0.25">
      <c r="A47" s="62"/>
      <c r="B47" s="87" t="s">
        <v>12</v>
      </c>
      <c r="C47" s="53"/>
      <c r="D47" s="73"/>
      <c r="E47" s="88">
        <f t="shared" si="33"/>
        <v>0</v>
      </c>
      <c r="F47" s="63"/>
      <c r="G47" s="70" t="e">
        <f t="shared" si="34"/>
        <v>#DIV/0!</v>
      </c>
      <c r="H47" s="71"/>
      <c r="I47" s="83"/>
      <c r="J47" s="73">
        <f t="shared" si="35"/>
        <v>0</v>
      </c>
      <c r="K47" s="64">
        <f t="shared" si="36"/>
        <v>0</v>
      </c>
      <c r="L47" s="74" t="e">
        <f t="shared" si="37"/>
        <v>#DIV/0!</v>
      </c>
      <c r="M47" s="65"/>
      <c r="N47" s="76">
        <f t="shared" si="38"/>
        <v>0</v>
      </c>
      <c r="O47" s="1"/>
      <c r="P47" s="1"/>
      <c r="Q47" s="1"/>
      <c r="R47" s="1">
        <f t="shared" ref="R47:R57" si="39">Q47</f>
        <v>0</v>
      </c>
    </row>
    <row r="48" spans="1:18" ht="16.5" thickBot="1" x14ac:dyDescent="0.3">
      <c r="A48" s="62"/>
      <c r="B48" s="87" t="s">
        <v>12</v>
      </c>
      <c r="C48" s="73"/>
      <c r="D48" s="73"/>
      <c r="E48" s="88">
        <f t="shared" si="33"/>
        <v>0</v>
      </c>
      <c r="F48" s="63"/>
      <c r="G48" s="70" t="e">
        <f t="shared" si="34"/>
        <v>#DIV/0!</v>
      </c>
      <c r="H48" s="83"/>
      <c r="I48" s="83"/>
      <c r="J48" s="73">
        <f t="shared" si="35"/>
        <v>0</v>
      </c>
      <c r="K48" s="64">
        <f t="shared" si="36"/>
        <v>0</v>
      </c>
      <c r="L48" s="74" t="e">
        <f t="shared" si="37"/>
        <v>#DIV/0!</v>
      </c>
      <c r="M48" s="65"/>
      <c r="N48" s="76">
        <f t="shared" si="38"/>
        <v>0</v>
      </c>
      <c r="O48" s="1"/>
      <c r="P48" s="1"/>
      <c r="Q48" s="1"/>
      <c r="R48" s="1">
        <f t="shared" si="39"/>
        <v>0</v>
      </c>
    </row>
    <row r="49" spans="1:18" ht="16.5" thickBot="1" x14ac:dyDescent="0.3">
      <c r="A49" s="77"/>
      <c r="B49" s="78"/>
      <c r="C49" s="77"/>
      <c r="D49" s="77" t="s">
        <v>17</v>
      </c>
      <c r="E49" s="77">
        <f>SUM(E39:E47)</f>
        <v>2518</v>
      </c>
      <c r="F49" s="77"/>
      <c r="G49" s="79" t="e">
        <f>AVERAGE(G39:G47)</f>
        <v>#DIV/0!</v>
      </c>
      <c r="H49" s="77"/>
      <c r="I49" s="80"/>
      <c r="J49" s="77">
        <f t="shared" ref="J49:K49" si="40">SUM(J39:J47)</f>
        <v>2464</v>
      </c>
      <c r="K49" s="77">
        <f t="shared" si="40"/>
        <v>308</v>
      </c>
      <c r="L49" s="79" t="e">
        <f>AVERAGE(L39:L47)</f>
        <v>#DIV/0!</v>
      </c>
      <c r="M49" s="78"/>
      <c r="N49" s="81">
        <f>SUM(N39:N48)</f>
        <v>8567840</v>
      </c>
      <c r="O49" s="1"/>
      <c r="P49" s="1"/>
      <c r="Q49" s="1"/>
      <c r="R49" s="1">
        <f t="shared" si="39"/>
        <v>0</v>
      </c>
    </row>
    <row r="50" spans="1:18" ht="16.5" thickBot="1" x14ac:dyDescent="0.3">
      <c r="A50" s="51">
        <v>46248</v>
      </c>
      <c r="B50" s="52" t="s">
        <v>13</v>
      </c>
      <c r="C50" s="53">
        <v>162930</v>
      </c>
      <c r="D50" s="53">
        <v>163211</v>
      </c>
      <c r="E50" s="82">
        <f t="shared" ref="E50:E60" si="41">D50-C50</f>
        <v>281</v>
      </c>
      <c r="F50" s="54">
        <v>42</v>
      </c>
      <c r="G50" s="21">
        <f t="shared" ref="G50:G60" si="42">(F50/E50)*100</f>
        <v>14.946619217081849</v>
      </c>
      <c r="H50" s="71">
        <v>49086</v>
      </c>
      <c r="I50" s="71">
        <v>49321</v>
      </c>
      <c r="J50" s="52">
        <f t="shared" ref="J50:J60" si="43">I50-H50</f>
        <v>235</v>
      </c>
      <c r="K50" s="86">
        <f t="shared" ref="K50:K60" si="44">F50</f>
        <v>42</v>
      </c>
      <c r="L50" s="55">
        <f t="shared" ref="L50:L60" si="45">(K50/J50)*100</f>
        <v>17.872340425531917</v>
      </c>
      <c r="M50" s="56">
        <v>27230</v>
      </c>
      <c r="N50" s="57">
        <f t="shared" ref="N50:N60" si="46">F50*M50</f>
        <v>1143660</v>
      </c>
      <c r="O50" s="1"/>
      <c r="P50" s="1"/>
      <c r="Q50" s="1"/>
      <c r="R50" s="1">
        <f t="shared" si="39"/>
        <v>0</v>
      </c>
    </row>
    <row r="51" spans="1:18" x14ac:dyDescent="0.25">
      <c r="A51" s="51">
        <v>46257</v>
      </c>
      <c r="B51" s="53" t="s">
        <v>13</v>
      </c>
      <c r="C51" s="53">
        <v>163211</v>
      </c>
      <c r="D51" s="53">
        <v>163520</v>
      </c>
      <c r="E51" s="20">
        <f t="shared" si="41"/>
        <v>309</v>
      </c>
      <c r="F51" s="63">
        <v>45</v>
      </c>
      <c r="G51" s="21">
        <f t="shared" si="42"/>
        <v>14.563106796116504</v>
      </c>
      <c r="H51" s="71">
        <v>49321</v>
      </c>
      <c r="I51" s="71">
        <v>49627</v>
      </c>
      <c r="J51" s="53">
        <f t="shared" si="43"/>
        <v>306</v>
      </c>
      <c r="K51" s="64">
        <f t="shared" si="44"/>
        <v>45</v>
      </c>
      <c r="L51" s="60">
        <f t="shared" si="45"/>
        <v>14.705882352941178</v>
      </c>
      <c r="M51" s="65">
        <v>28540</v>
      </c>
      <c r="N51" s="61">
        <f t="shared" si="46"/>
        <v>1284300</v>
      </c>
      <c r="O51" s="1"/>
      <c r="P51" s="1"/>
      <c r="Q51" s="1"/>
      <c r="R51" s="1">
        <f t="shared" si="39"/>
        <v>0</v>
      </c>
    </row>
    <row r="52" spans="1:18" x14ac:dyDescent="0.25">
      <c r="A52" s="89">
        <v>46260</v>
      </c>
      <c r="B52" s="53" t="s">
        <v>13</v>
      </c>
      <c r="C52" s="53">
        <v>163520</v>
      </c>
      <c r="D52" s="53">
        <v>163859</v>
      </c>
      <c r="E52" s="20">
        <f t="shared" si="41"/>
        <v>339</v>
      </c>
      <c r="F52" s="63">
        <v>45</v>
      </c>
      <c r="G52" s="21">
        <f t="shared" si="42"/>
        <v>13.274336283185843</v>
      </c>
      <c r="H52" s="71">
        <v>49627</v>
      </c>
      <c r="I52" s="71">
        <v>49954</v>
      </c>
      <c r="J52" s="53">
        <f t="shared" si="43"/>
        <v>327</v>
      </c>
      <c r="K52" s="64">
        <f t="shared" si="44"/>
        <v>45</v>
      </c>
      <c r="L52" s="60">
        <f t="shared" si="45"/>
        <v>13.761467889908257</v>
      </c>
      <c r="M52" s="65">
        <v>28540</v>
      </c>
      <c r="N52" s="61">
        <f t="shared" si="46"/>
        <v>1284300</v>
      </c>
      <c r="O52" s="1"/>
      <c r="P52" s="1"/>
      <c r="Q52" s="1"/>
      <c r="R52" s="1">
        <f t="shared" si="39"/>
        <v>0</v>
      </c>
    </row>
    <row r="53" spans="1:18" x14ac:dyDescent="0.25">
      <c r="A53" s="89">
        <v>46263</v>
      </c>
      <c r="B53" s="53" t="s">
        <v>13</v>
      </c>
      <c r="C53" s="53">
        <v>163859</v>
      </c>
      <c r="D53" s="53">
        <v>164206</v>
      </c>
      <c r="E53" s="20">
        <f t="shared" si="41"/>
        <v>347</v>
      </c>
      <c r="F53" s="63">
        <v>53</v>
      </c>
      <c r="G53" s="21">
        <f t="shared" si="42"/>
        <v>15.273775216138327</v>
      </c>
      <c r="H53" s="71">
        <v>49954</v>
      </c>
      <c r="I53" s="71">
        <v>50297</v>
      </c>
      <c r="J53" s="53">
        <f t="shared" si="43"/>
        <v>343</v>
      </c>
      <c r="K53" s="64">
        <f t="shared" si="44"/>
        <v>53</v>
      </c>
      <c r="L53" s="60">
        <f t="shared" si="45"/>
        <v>15.451895043731778</v>
      </c>
      <c r="M53" s="65">
        <v>28080</v>
      </c>
      <c r="N53" s="61">
        <f t="shared" si="46"/>
        <v>1488240</v>
      </c>
      <c r="O53" s="1"/>
      <c r="P53" s="1"/>
      <c r="Q53" s="1"/>
      <c r="R53" s="1">
        <f t="shared" si="39"/>
        <v>0</v>
      </c>
    </row>
    <row r="54" spans="1:18" x14ac:dyDescent="0.25">
      <c r="A54" s="89"/>
      <c r="B54" s="53" t="s">
        <v>13</v>
      </c>
      <c r="C54" s="53"/>
      <c r="D54" s="53"/>
      <c r="E54" s="20">
        <f t="shared" si="41"/>
        <v>0</v>
      </c>
      <c r="F54" s="63"/>
      <c r="G54" s="21" t="e">
        <f t="shared" si="42"/>
        <v>#DIV/0!</v>
      </c>
      <c r="H54" s="71"/>
      <c r="I54" s="71"/>
      <c r="J54" s="53">
        <f t="shared" si="43"/>
        <v>0</v>
      </c>
      <c r="K54" s="64">
        <f t="shared" si="44"/>
        <v>0</v>
      </c>
      <c r="L54" s="60" t="e">
        <f t="shared" si="45"/>
        <v>#DIV/0!</v>
      </c>
      <c r="M54" s="65"/>
      <c r="N54" s="61">
        <f t="shared" si="46"/>
        <v>0</v>
      </c>
      <c r="O54" s="1"/>
      <c r="P54" s="90"/>
      <c r="Q54" s="1"/>
      <c r="R54" s="1">
        <f t="shared" si="39"/>
        <v>0</v>
      </c>
    </row>
    <row r="55" spans="1:18" x14ac:dyDescent="0.25">
      <c r="A55" s="89"/>
      <c r="B55" s="53" t="s">
        <v>13</v>
      </c>
      <c r="C55" s="53"/>
      <c r="D55" s="53"/>
      <c r="E55" s="20">
        <f t="shared" si="41"/>
        <v>0</v>
      </c>
      <c r="F55" s="63"/>
      <c r="G55" s="21" t="e">
        <f t="shared" si="42"/>
        <v>#DIV/0!</v>
      </c>
      <c r="H55" s="71"/>
      <c r="I55" s="71"/>
      <c r="J55" s="53">
        <f t="shared" si="43"/>
        <v>0</v>
      </c>
      <c r="K55" s="64">
        <f t="shared" si="44"/>
        <v>0</v>
      </c>
      <c r="L55" s="60" t="e">
        <f t="shared" si="45"/>
        <v>#DIV/0!</v>
      </c>
      <c r="M55" s="65"/>
      <c r="N55" s="61">
        <f t="shared" si="46"/>
        <v>0</v>
      </c>
      <c r="O55" s="1"/>
      <c r="P55" s="1"/>
      <c r="Q55" s="1"/>
      <c r="R55" s="1">
        <f t="shared" si="39"/>
        <v>0</v>
      </c>
    </row>
    <row r="56" spans="1:18" x14ac:dyDescent="0.25">
      <c r="A56" s="89"/>
      <c r="B56" s="53" t="s">
        <v>13</v>
      </c>
      <c r="C56" s="53"/>
      <c r="D56" s="53"/>
      <c r="E56" s="20">
        <f t="shared" si="41"/>
        <v>0</v>
      </c>
      <c r="F56" s="63"/>
      <c r="G56" s="21" t="e">
        <f t="shared" si="42"/>
        <v>#DIV/0!</v>
      </c>
      <c r="H56" s="71"/>
      <c r="I56" s="71"/>
      <c r="J56" s="53">
        <f t="shared" si="43"/>
        <v>0</v>
      </c>
      <c r="K56" s="64">
        <f t="shared" si="44"/>
        <v>0</v>
      </c>
      <c r="L56" s="60" t="e">
        <f t="shared" si="45"/>
        <v>#DIV/0!</v>
      </c>
      <c r="M56" s="65"/>
      <c r="N56" s="61">
        <f t="shared" si="46"/>
        <v>0</v>
      </c>
      <c r="O56" s="1"/>
      <c r="P56" s="1"/>
      <c r="Q56" s="1"/>
      <c r="R56" s="1">
        <f t="shared" si="39"/>
        <v>0</v>
      </c>
    </row>
    <row r="57" spans="1:18" x14ac:dyDescent="0.25">
      <c r="A57" s="89"/>
      <c r="B57" s="53" t="s">
        <v>13</v>
      </c>
      <c r="C57" s="53"/>
      <c r="D57" s="53"/>
      <c r="E57" s="20">
        <f t="shared" si="41"/>
        <v>0</v>
      </c>
      <c r="F57" s="63"/>
      <c r="G57" s="21" t="e">
        <f t="shared" si="42"/>
        <v>#DIV/0!</v>
      </c>
      <c r="H57" s="71"/>
      <c r="I57" s="71"/>
      <c r="J57" s="53">
        <f t="shared" si="43"/>
        <v>0</v>
      </c>
      <c r="K57" s="64">
        <f t="shared" si="44"/>
        <v>0</v>
      </c>
      <c r="L57" s="60" t="e">
        <f t="shared" si="45"/>
        <v>#DIV/0!</v>
      </c>
      <c r="M57" s="65"/>
      <c r="N57" s="61">
        <f t="shared" si="46"/>
        <v>0</v>
      </c>
      <c r="O57" s="1"/>
      <c r="P57" s="1"/>
      <c r="Q57" s="1"/>
      <c r="R57" s="1">
        <f t="shared" si="39"/>
        <v>0</v>
      </c>
    </row>
    <row r="58" spans="1:18" x14ac:dyDescent="0.25">
      <c r="A58" s="89"/>
      <c r="B58" s="53" t="s">
        <v>13</v>
      </c>
      <c r="C58" s="53"/>
      <c r="D58" s="53"/>
      <c r="E58" s="20">
        <f t="shared" si="41"/>
        <v>0</v>
      </c>
      <c r="F58" s="63"/>
      <c r="G58" s="21" t="e">
        <f t="shared" si="42"/>
        <v>#DIV/0!</v>
      </c>
      <c r="H58" s="71"/>
      <c r="I58" s="71"/>
      <c r="J58" s="53">
        <f t="shared" si="43"/>
        <v>0</v>
      </c>
      <c r="K58" s="64">
        <f t="shared" si="44"/>
        <v>0</v>
      </c>
      <c r="L58" s="60" t="e">
        <f t="shared" si="45"/>
        <v>#DIV/0!</v>
      </c>
      <c r="M58" s="65"/>
      <c r="N58" s="61">
        <f t="shared" si="46"/>
        <v>0</v>
      </c>
      <c r="O58" s="1"/>
      <c r="P58" s="1"/>
      <c r="Q58" s="1"/>
      <c r="R58" s="1"/>
    </row>
    <row r="59" spans="1:18" x14ac:dyDescent="0.25">
      <c r="A59" s="89"/>
      <c r="B59" s="53" t="s">
        <v>13</v>
      </c>
      <c r="C59" s="53"/>
      <c r="D59" s="53"/>
      <c r="E59" s="20">
        <f t="shared" si="41"/>
        <v>0</v>
      </c>
      <c r="F59" s="63"/>
      <c r="G59" s="21" t="e">
        <f t="shared" si="42"/>
        <v>#DIV/0!</v>
      </c>
      <c r="H59" s="71"/>
      <c r="I59" s="71"/>
      <c r="J59" s="53">
        <f t="shared" si="43"/>
        <v>0</v>
      </c>
      <c r="K59" s="64">
        <f t="shared" si="44"/>
        <v>0</v>
      </c>
      <c r="L59" s="60" t="e">
        <f t="shared" si="45"/>
        <v>#DIV/0!</v>
      </c>
      <c r="M59" s="65"/>
      <c r="N59" s="61">
        <f t="shared" si="46"/>
        <v>0</v>
      </c>
      <c r="O59" s="1"/>
      <c r="P59" s="1"/>
      <c r="Q59" s="1"/>
      <c r="R59" s="1">
        <f t="shared" ref="R59:R64" si="47">Q59</f>
        <v>0</v>
      </c>
    </row>
    <row r="60" spans="1:18" ht="16.5" thickBot="1" x14ac:dyDescent="0.3">
      <c r="A60" s="89"/>
      <c r="B60" s="53" t="s">
        <v>13</v>
      </c>
      <c r="C60" s="73"/>
      <c r="D60" s="73"/>
      <c r="E60" s="88">
        <f t="shared" si="41"/>
        <v>0</v>
      </c>
      <c r="F60" s="63"/>
      <c r="G60" s="70" t="e">
        <f t="shared" si="42"/>
        <v>#DIV/0!</v>
      </c>
      <c r="H60" s="73"/>
      <c r="I60" s="83"/>
      <c r="J60" s="73">
        <f t="shared" si="43"/>
        <v>0</v>
      </c>
      <c r="K60" s="64">
        <f t="shared" si="44"/>
        <v>0</v>
      </c>
      <c r="L60" s="74" t="e">
        <f t="shared" si="45"/>
        <v>#DIV/0!</v>
      </c>
      <c r="M60" s="65"/>
      <c r="N60" s="76">
        <f t="shared" si="46"/>
        <v>0</v>
      </c>
      <c r="O60" s="1"/>
      <c r="P60" s="1"/>
      <c r="Q60" s="1"/>
      <c r="R60" s="1">
        <f t="shared" si="47"/>
        <v>0</v>
      </c>
    </row>
    <row r="61" spans="1:18" ht="16.5" thickBot="1" x14ac:dyDescent="0.3">
      <c r="A61" s="77"/>
      <c r="B61" s="78"/>
      <c r="C61" s="91"/>
      <c r="D61" s="77" t="s">
        <v>17</v>
      </c>
      <c r="E61" s="77">
        <f>SUM(E50:E60)</f>
        <v>1276</v>
      </c>
      <c r="F61" s="54"/>
      <c r="G61" s="79" t="e">
        <f>AVERAGE(G50:G60)</f>
        <v>#DIV/0!</v>
      </c>
      <c r="H61" s="77"/>
      <c r="I61" s="80"/>
      <c r="J61" s="77">
        <f t="shared" ref="J61:K61" si="48">SUM(J50:J60)</f>
        <v>1211</v>
      </c>
      <c r="K61" s="77">
        <f t="shared" si="48"/>
        <v>185</v>
      </c>
      <c r="L61" s="79" t="e">
        <f>AVERAGE(L50:L60)</f>
        <v>#DIV/0!</v>
      </c>
      <c r="M61" s="78"/>
      <c r="N61" s="81">
        <f>SUM(N50:N60)</f>
        <v>5200500</v>
      </c>
      <c r="O61" s="1"/>
      <c r="P61" s="1"/>
      <c r="Q61" s="1"/>
      <c r="R61" s="1">
        <f t="shared" si="47"/>
        <v>0</v>
      </c>
    </row>
    <row r="62" spans="1:18" x14ac:dyDescent="0.25">
      <c r="A62" s="51">
        <v>46239</v>
      </c>
      <c r="B62" s="86" t="s">
        <v>15</v>
      </c>
      <c r="C62" s="53">
        <v>165304</v>
      </c>
      <c r="D62" s="64">
        <v>165596</v>
      </c>
      <c r="E62" s="82">
        <f t="shared" ref="E62:E70" si="49">D62-C62</f>
        <v>292</v>
      </c>
      <c r="F62" s="54">
        <v>48</v>
      </c>
      <c r="G62" s="21">
        <f t="shared" ref="G62:G70" si="50">(F62/E62)*100</f>
        <v>16.43835616438356</v>
      </c>
      <c r="H62" s="71">
        <v>38923</v>
      </c>
      <c r="I62" s="71">
        <v>39254</v>
      </c>
      <c r="J62" s="52">
        <f t="shared" ref="J62:J70" si="51">I62-H62</f>
        <v>331</v>
      </c>
      <c r="K62" s="86">
        <f t="shared" ref="K62:K70" si="52">F62</f>
        <v>48</v>
      </c>
      <c r="L62" s="55">
        <f t="shared" ref="L62:L70" si="53">(K62/J62)*100</f>
        <v>14.501510574018129</v>
      </c>
      <c r="M62" s="56">
        <v>27620</v>
      </c>
      <c r="N62" s="57">
        <f t="shared" ref="N62:N70" si="54">F62*M62</f>
        <v>1325760</v>
      </c>
      <c r="O62" s="1"/>
      <c r="P62" s="1"/>
      <c r="Q62" s="1"/>
      <c r="R62" s="1">
        <f t="shared" si="47"/>
        <v>0</v>
      </c>
    </row>
    <row r="63" spans="1:18" x14ac:dyDescent="0.25">
      <c r="A63" s="62">
        <v>46242</v>
      </c>
      <c r="B63" s="53" t="s">
        <v>15</v>
      </c>
      <c r="C63" s="64">
        <v>165596</v>
      </c>
      <c r="D63" s="53">
        <v>165880</v>
      </c>
      <c r="E63" s="20">
        <f t="shared" si="49"/>
        <v>284</v>
      </c>
      <c r="F63" s="63">
        <v>45</v>
      </c>
      <c r="G63" s="21">
        <f t="shared" si="50"/>
        <v>15.845070422535212</v>
      </c>
      <c r="H63" s="71">
        <v>39254</v>
      </c>
      <c r="I63" s="71">
        <v>39574</v>
      </c>
      <c r="J63" s="53">
        <f t="shared" si="51"/>
        <v>320</v>
      </c>
      <c r="K63" s="64">
        <f t="shared" si="52"/>
        <v>45</v>
      </c>
      <c r="L63" s="60">
        <f t="shared" si="53"/>
        <v>14.0625</v>
      </c>
      <c r="M63" s="65">
        <v>27540</v>
      </c>
      <c r="N63" s="61">
        <f t="shared" si="54"/>
        <v>1239300</v>
      </c>
      <c r="O63" s="1"/>
      <c r="P63" s="1"/>
      <c r="Q63" s="1"/>
      <c r="R63" s="1">
        <f t="shared" si="47"/>
        <v>0</v>
      </c>
    </row>
    <row r="64" spans="1:18" x14ac:dyDescent="0.25">
      <c r="A64" s="62">
        <v>46246</v>
      </c>
      <c r="B64" s="53" t="s">
        <v>15</v>
      </c>
      <c r="C64" s="53">
        <v>165880</v>
      </c>
      <c r="D64" s="53">
        <v>166229</v>
      </c>
      <c r="E64" s="20">
        <f t="shared" si="49"/>
        <v>349</v>
      </c>
      <c r="F64" s="63">
        <v>50</v>
      </c>
      <c r="G64" s="21">
        <f t="shared" si="50"/>
        <v>14.326647564469914</v>
      </c>
      <c r="H64" s="71">
        <v>39574</v>
      </c>
      <c r="I64" s="71">
        <v>39884</v>
      </c>
      <c r="J64" s="53">
        <f t="shared" si="51"/>
        <v>310</v>
      </c>
      <c r="K64" s="64">
        <f t="shared" si="52"/>
        <v>50</v>
      </c>
      <c r="L64" s="60">
        <f t="shared" si="53"/>
        <v>16.129032258064516</v>
      </c>
      <c r="M64" s="65">
        <v>27540</v>
      </c>
      <c r="N64" s="61">
        <f t="shared" si="54"/>
        <v>1377000</v>
      </c>
      <c r="O64" s="1"/>
      <c r="P64" s="1"/>
      <c r="Q64" s="1"/>
      <c r="R64" s="1">
        <f t="shared" si="47"/>
        <v>0</v>
      </c>
    </row>
    <row r="65" spans="1:18" x14ac:dyDescent="0.25">
      <c r="A65" s="62">
        <v>46252</v>
      </c>
      <c r="B65" s="53" t="s">
        <v>15</v>
      </c>
      <c r="C65" s="53">
        <v>166229</v>
      </c>
      <c r="D65" s="53">
        <v>166482</v>
      </c>
      <c r="E65" s="20">
        <f t="shared" si="49"/>
        <v>253</v>
      </c>
      <c r="F65" s="63">
        <v>50</v>
      </c>
      <c r="G65" s="21">
        <f t="shared" si="50"/>
        <v>19.762845849802371</v>
      </c>
      <c r="H65" s="71">
        <v>39884</v>
      </c>
      <c r="I65" s="71">
        <v>40153</v>
      </c>
      <c r="J65" s="53">
        <f t="shared" si="51"/>
        <v>269</v>
      </c>
      <c r="K65" s="64">
        <f t="shared" si="52"/>
        <v>50</v>
      </c>
      <c r="L65" s="60">
        <f t="shared" si="53"/>
        <v>18.587360594795538</v>
      </c>
      <c r="M65" s="65">
        <v>27230</v>
      </c>
      <c r="N65" s="61">
        <f t="shared" si="54"/>
        <v>1361500</v>
      </c>
      <c r="O65" s="1"/>
      <c r="P65" s="1"/>
      <c r="Q65" s="1"/>
      <c r="R65" s="1"/>
    </row>
    <row r="66" spans="1:18" x14ac:dyDescent="0.25">
      <c r="A66" s="62">
        <v>46254</v>
      </c>
      <c r="B66" s="53" t="s">
        <v>15</v>
      </c>
      <c r="C66" s="53">
        <v>166482</v>
      </c>
      <c r="D66" s="53">
        <v>166760</v>
      </c>
      <c r="E66" s="20">
        <f t="shared" si="49"/>
        <v>278</v>
      </c>
      <c r="F66" s="63">
        <v>41</v>
      </c>
      <c r="G66" s="21">
        <f t="shared" si="50"/>
        <v>14.748201438848922</v>
      </c>
      <c r="H66" s="71">
        <v>40153</v>
      </c>
      <c r="I66" s="71">
        <v>40402</v>
      </c>
      <c r="J66" s="53">
        <f t="shared" si="51"/>
        <v>249</v>
      </c>
      <c r="K66" s="64">
        <f t="shared" si="52"/>
        <v>41</v>
      </c>
      <c r="L66" s="60">
        <f t="shared" si="53"/>
        <v>16.46586345381526</v>
      </c>
      <c r="M66" s="65">
        <v>27230</v>
      </c>
      <c r="N66" s="61">
        <f t="shared" si="54"/>
        <v>1116430</v>
      </c>
      <c r="O66" s="1"/>
      <c r="P66" s="1"/>
      <c r="Q66" s="1"/>
      <c r="R66" s="1">
        <f t="shared" ref="R66:R128" si="55">Q66</f>
        <v>0</v>
      </c>
    </row>
    <row r="67" spans="1:18" x14ac:dyDescent="0.25">
      <c r="A67" s="62">
        <v>46259</v>
      </c>
      <c r="B67" s="53" t="s">
        <v>15</v>
      </c>
      <c r="C67" s="53">
        <v>166760</v>
      </c>
      <c r="D67" s="53">
        <v>167066</v>
      </c>
      <c r="E67" s="20">
        <f t="shared" si="49"/>
        <v>306</v>
      </c>
      <c r="F67" s="63">
        <v>48</v>
      </c>
      <c r="G67" s="21">
        <f t="shared" si="50"/>
        <v>15.686274509803921</v>
      </c>
      <c r="H67" s="71">
        <v>40402</v>
      </c>
      <c r="I67" s="71">
        <v>40708</v>
      </c>
      <c r="J67" s="53">
        <f t="shared" si="51"/>
        <v>306</v>
      </c>
      <c r="K67" s="64">
        <f t="shared" si="52"/>
        <v>48</v>
      </c>
      <c r="L67" s="60">
        <f t="shared" si="53"/>
        <v>15.686274509803921</v>
      </c>
      <c r="M67" s="65">
        <v>28540</v>
      </c>
      <c r="N67" s="61">
        <f t="shared" si="54"/>
        <v>1369920</v>
      </c>
      <c r="O67" s="1"/>
      <c r="P67" s="1"/>
      <c r="Q67" s="1"/>
      <c r="R67" s="1">
        <f t="shared" si="55"/>
        <v>0</v>
      </c>
    </row>
    <row r="68" spans="1:18" x14ac:dyDescent="0.25">
      <c r="A68" s="62">
        <v>46263</v>
      </c>
      <c r="B68" s="53" t="s">
        <v>15</v>
      </c>
      <c r="C68" s="53">
        <v>167066</v>
      </c>
      <c r="D68" s="53">
        <v>167348</v>
      </c>
      <c r="E68" s="41">
        <f t="shared" si="49"/>
        <v>282</v>
      </c>
      <c r="F68" s="63">
        <v>54</v>
      </c>
      <c r="G68" s="21">
        <f t="shared" si="50"/>
        <v>19.148936170212767</v>
      </c>
      <c r="H68" s="71">
        <v>40708</v>
      </c>
      <c r="I68" s="71">
        <v>40993</v>
      </c>
      <c r="J68" s="53">
        <f t="shared" si="51"/>
        <v>285</v>
      </c>
      <c r="K68" s="64">
        <f t="shared" si="52"/>
        <v>54</v>
      </c>
      <c r="L68" s="60">
        <f t="shared" si="53"/>
        <v>18.947368421052634</v>
      </c>
      <c r="M68" s="65">
        <v>28080</v>
      </c>
      <c r="N68" s="61">
        <f t="shared" si="54"/>
        <v>1516320</v>
      </c>
      <c r="O68" s="1"/>
      <c r="P68" s="1"/>
      <c r="Q68" s="1"/>
      <c r="R68" s="1">
        <f t="shared" si="55"/>
        <v>0</v>
      </c>
    </row>
    <row r="69" spans="1:18" x14ac:dyDescent="0.25">
      <c r="A69" s="92"/>
      <c r="B69" s="64" t="s">
        <v>15</v>
      </c>
      <c r="C69" s="53"/>
      <c r="D69" s="64"/>
      <c r="E69" s="41">
        <f t="shared" si="49"/>
        <v>0</v>
      </c>
      <c r="F69" s="63"/>
      <c r="G69" s="21" t="e">
        <f t="shared" si="50"/>
        <v>#DIV/0!</v>
      </c>
      <c r="H69" s="71"/>
      <c r="I69" s="71"/>
      <c r="J69" s="53">
        <f t="shared" si="51"/>
        <v>0</v>
      </c>
      <c r="K69" s="64">
        <f t="shared" si="52"/>
        <v>0</v>
      </c>
      <c r="L69" s="60" t="e">
        <f t="shared" si="53"/>
        <v>#DIV/0!</v>
      </c>
      <c r="M69" s="65"/>
      <c r="N69" s="61">
        <f t="shared" si="54"/>
        <v>0</v>
      </c>
      <c r="O69" s="1"/>
      <c r="P69" s="1"/>
      <c r="Q69" s="1"/>
      <c r="R69" s="1">
        <f t="shared" si="55"/>
        <v>0</v>
      </c>
    </row>
    <row r="70" spans="1:18" ht="16.5" thickBot="1" x14ac:dyDescent="0.3">
      <c r="A70" s="62"/>
      <c r="B70" s="53" t="s">
        <v>15</v>
      </c>
      <c r="C70" s="19"/>
      <c r="D70" s="73"/>
      <c r="E70" s="88">
        <f t="shared" si="49"/>
        <v>0</v>
      </c>
      <c r="F70" s="63"/>
      <c r="G70" s="70" t="e">
        <f t="shared" si="50"/>
        <v>#DIV/0!</v>
      </c>
      <c r="H70" s="73"/>
      <c r="I70" s="83"/>
      <c r="J70" s="73">
        <f t="shared" si="51"/>
        <v>0</v>
      </c>
      <c r="K70" s="64">
        <f t="shared" si="52"/>
        <v>0</v>
      </c>
      <c r="L70" s="74" t="e">
        <f t="shared" si="53"/>
        <v>#DIV/0!</v>
      </c>
      <c r="M70" s="65"/>
      <c r="N70" s="76">
        <f t="shared" si="54"/>
        <v>0</v>
      </c>
      <c r="O70" s="1"/>
      <c r="P70" s="1"/>
      <c r="Q70" s="1"/>
      <c r="R70" s="1">
        <f t="shared" si="55"/>
        <v>0</v>
      </c>
    </row>
    <row r="71" spans="1:18" ht="16.5" thickBot="1" x14ac:dyDescent="0.3">
      <c r="A71" s="77"/>
      <c r="B71" s="78"/>
      <c r="C71" s="46"/>
      <c r="D71" s="77" t="s">
        <v>17</v>
      </c>
      <c r="E71" s="77">
        <f>SUM(E62:E70)</f>
        <v>2044</v>
      </c>
      <c r="F71" s="77"/>
      <c r="G71" s="79" t="e">
        <f>AVERAGE(G62:G70)</f>
        <v>#DIV/0!</v>
      </c>
      <c r="H71" s="77"/>
      <c r="I71" s="80"/>
      <c r="J71" s="77">
        <f t="shared" ref="J71:K71" si="56">SUM(J62:J70)</f>
        <v>2070</v>
      </c>
      <c r="K71" s="77">
        <f t="shared" si="56"/>
        <v>336</v>
      </c>
      <c r="L71" s="79" t="e">
        <f>AVERAGE(L62:L70)</f>
        <v>#DIV/0!</v>
      </c>
      <c r="M71" s="78"/>
      <c r="N71" s="81">
        <f>SUM(N62:N70)</f>
        <v>9306230</v>
      </c>
      <c r="O71" s="1"/>
      <c r="P71" s="1"/>
      <c r="Q71" s="1"/>
      <c r="R71" s="1">
        <f t="shared" si="55"/>
        <v>0</v>
      </c>
    </row>
    <row r="72" spans="1:18" x14ac:dyDescent="0.25">
      <c r="A72" s="51">
        <v>46241</v>
      </c>
      <c r="B72" s="52" t="s">
        <v>16</v>
      </c>
      <c r="C72" s="53">
        <v>412813</v>
      </c>
      <c r="D72" s="53">
        <v>413420</v>
      </c>
      <c r="E72" s="82">
        <f t="shared" ref="E72:E79" si="57">D72-C72</f>
        <v>607</v>
      </c>
      <c r="F72" s="54">
        <v>80</v>
      </c>
      <c r="G72" s="21">
        <f t="shared" ref="G72:G79" si="58">(F72/E72)*100</f>
        <v>13.179571663920923</v>
      </c>
      <c r="H72" s="71">
        <v>44630</v>
      </c>
      <c r="I72" s="71">
        <v>45250</v>
      </c>
      <c r="J72" s="52">
        <f t="shared" ref="J72:J79" si="59">I72-H72</f>
        <v>620</v>
      </c>
      <c r="K72" s="86">
        <f t="shared" ref="K72:K79" si="60">F72</f>
        <v>80</v>
      </c>
      <c r="L72" s="55">
        <f t="shared" ref="L72:L79" si="61">(K72/J72)*100</f>
        <v>12.903225806451612</v>
      </c>
      <c r="M72" s="56">
        <v>27540</v>
      </c>
      <c r="N72" s="57">
        <f t="shared" ref="N72:N79" si="62">F72*M72</f>
        <v>2203200</v>
      </c>
      <c r="O72" s="1"/>
      <c r="P72" s="1"/>
      <c r="Q72" s="1"/>
      <c r="R72" s="1">
        <f t="shared" si="55"/>
        <v>0</v>
      </c>
    </row>
    <row r="73" spans="1:18" x14ac:dyDescent="0.25">
      <c r="A73" s="62">
        <v>46246</v>
      </c>
      <c r="B73" s="53" t="s">
        <v>16</v>
      </c>
      <c r="C73" s="53">
        <v>413420</v>
      </c>
      <c r="D73" s="53">
        <v>413937</v>
      </c>
      <c r="E73" s="20">
        <f t="shared" si="57"/>
        <v>517</v>
      </c>
      <c r="F73" s="63">
        <v>55</v>
      </c>
      <c r="G73" s="21">
        <f t="shared" si="58"/>
        <v>10.638297872340425</v>
      </c>
      <c r="H73" s="71">
        <v>45250</v>
      </c>
      <c r="I73" s="93">
        <v>45753</v>
      </c>
      <c r="J73" s="53">
        <f t="shared" si="59"/>
        <v>503</v>
      </c>
      <c r="K73" s="64">
        <f t="shared" si="60"/>
        <v>55</v>
      </c>
      <c r="L73" s="60">
        <f t="shared" si="61"/>
        <v>10.934393638170974</v>
      </c>
      <c r="M73" s="65">
        <v>27540</v>
      </c>
      <c r="N73" s="61">
        <f t="shared" si="62"/>
        <v>1514700</v>
      </c>
      <c r="O73" s="1"/>
      <c r="P73" s="1"/>
      <c r="Q73" s="1"/>
      <c r="R73" s="1">
        <f t="shared" si="55"/>
        <v>0</v>
      </c>
    </row>
    <row r="74" spans="1:18" x14ac:dyDescent="0.25">
      <c r="A74" s="62">
        <v>46252</v>
      </c>
      <c r="B74" s="53" t="s">
        <v>16</v>
      </c>
      <c r="C74" s="53">
        <v>413937</v>
      </c>
      <c r="D74" s="53">
        <v>414394</v>
      </c>
      <c r="E74" s="20">
        <f t="shared" si="57"/>
        <v>457</v>
      </c>
      <c r="F74" s="63">
        <v>46</v>
      </c>
      <c r="G74" s="21">
        <f t="shared" si="58"/>
        <v>10.065645514223196</v>
      </c>
      <c r="H74" s="93">
        <v>45753</v>
      </c>
      <c r="I74" s="71">
        <v>46187</v>
      </c>
      <c r="J74" s="53">
        <f t="shared" si="59"/>
        <v>434</v>
      </c>
      <c r="K74" s="64">
        <f t="shared" si="60"/>
        <v>46</v>
      </c>
      <c r="L74" s="60">
        <f t="shared" si="61"/>
        <v>10.599078341013826</v>
      </c>
      <c r="M74" s="65">
        <v>27230</v>
      </c>
      <c r="N74" s="61">
        <f t="shared" si="62"/>
        <v>1252580</v>
      </c>
      <c r="O74" s="1"/>
      <c r="P74" s="1"/>
      <c r="Q74" s="1"/>
      <c r="R74" s="1">
        <f t="shared" si="55"/>
        <v>0</v>
      </c>
    </row>
    <row r="75" spans="1:18" x14ac:dyDescent="0.25">
      <c r="A75" s="62">
        <v>46254</v>
      </c>
      <c r="B75" s="53" t="s">
        <v>16</v>
      </c>
      <c r="C75" s="53">
        <v>414394</v>
      </c>
      <c r="D75" s="53">
        <v>414653</v>
      </c>
      <c r="E75" s="20">
        <f t="shared" si="57"/>
        <v>259</v>
      </c>
      <c r="F75" s="63">
        <v>48</v>
      </c>
      <c r="G75" s="21">
        <f t="shared" si="58"/>
        <v>18.532818532818531</v>
      </c>
      <c r="H75" s="71">
        <v>46187</v>
      </c>
      <c r="I75" s="71">
        <v>46445</v>
      </c>
      <c r="J75" s="53">
        <f t="shared" si="59"/>
        <v>258</v>
      </c>
      <c r="K75" s="64">
        <f t="shared" si="60"/>
        <v>48</v>
      </c>
      <c r="L75" s="60">
        <f t="shared" si="61"/>
        <v>18.604651162790699</v>
      </c>
      <c r="M75" s="65">
        <v>28540</v>
      </c>
      <c r="N75" s="61">
        <f t="shared" si="62"/>
        <v>1369920</v>
      </c>
      <c r="O75" s="1"/>
      <c r="P75" s="1"/>
      <c r="Q75" s="1"/>
      <c r="R75" s="1">
        <f t="shared" si="55"/>
        <v>0</v>
      </c>
    </row>
    <row r="76" spans="1:18" x14ac:dyDescent="0.25">
      <c r="A76" s="62">
        <v>46260</v>
      </c>
      <c r="B76" s="53" t="s">
        <v>16</v>
      </c>
      <c r="C76" s="53">
        <v>414653</v>
      </c>
      <c r="D76" s="53">
        <v>415160</v>
      </c>
      <c r="E76" s="20">
        <f t="shared" si="57"/>
        <v>507</v>
      </c>
      <c r="F76" s="63">
        <v>64</v>
      </c>
      <c r="G76" s="21">
        <f t="shared" si="58"/>
        <v>12.623274161735701</v>
      </c>
      <c r="H76" s="71">
        <v>46445</v>
      </c>
      <c r="I76" s="71">
        <v>46957</v>
      </c>
      <c r="J76" s="53">
        <f t="shared" si="59"/>
        <v>512</v>
      </c>
      <c r="K76" s="64">
        <f t="shared" si="60"/>
        <v>64</v>
      </c>
      <c r="L76" s="60">
        <f t="shared" si="61"/>
        <v>12.5</v>
      </c>
      <c r="M76" s="65">
        <v>28540</v>
      </c>
      <c r="N76" s="61">
        <f t="shared" si="62"/>
        <v>1826560</v>
      </c>
      <c r="O76" s="1"/>
      <c r="P76" s="1"/>
      <c r="Q76" s="1"/>
      <c r="R76" s="1">
        <f t="shared" si="55"/>
        <v>0</v>
      </c>
    </row>
    <row r="77" spans="1:18" x14ac:dyDescent="0.25">
      <c r="A77" s="62"/>
      <c r="B77" s="53" t="s">
        <v>16</v>
      </c>
      <c r="C77" s="53"/>
      <c r="D77" s="53"/>
      <c r="E77" s="20">
        <f t="shared" si="57"/>
        <v>0</v>
      </c>
      <c r="F77" s="94"/>
      <c r="G77" s="21" t="e">
        <f t="shared" si="58"/>
        <v>#DIV/0!</v>
      </c>
      <c r="H77" s="71"/>
      <c r="I77" s="71"/>
      <c r="J77" s="53">
        <f t="shared" si="59"/>
        <v>0</v>
      </c>
      <c r="K77" s="64">
        <f t="shared" si="60"/>
        <v>0</v>
      </c>
      <c r="L77" s="60" t="e">
        <f t="shared" si="61"/>
        <v>#DIV/0!</v>
      </c>
      <c r="M77" s="65"/>
      <c r="N77" s="61">
        <f t="shared" si="62"/>
        <v>0</v>
      </c>
      <c r="O77" s="1"/>
      <c r="P77" s="1"/>
      <c r="Q77" s="1"/>
      <c r="R77" s="1">
        <f t="shared" si="55"/>
        <v>0</v>
      </c>
    </row>
    <row r="78" spans="1:18" x14ac:dyDescent="0.25">
      <c r="A78" s="62"/>
      <c r="B78" s="53" t="s">
        <v>16</v>
      </c>
      <c r="C78" s="53"/>
      <c r="D78" s="73"/>
      <c r="E78" s="88">
        <f t="shared" si="57"/>
        <v>0</v>
      </c>
      <c r="F78" s="63"/>
      <c r="G78" s="70" t="e">
        <f t="shared" si="58"/>
        <v>#DIV/0!</v>
      </c>
      <c r="H78" s="71"/>
      <c r="I78" s="83"/>
      <c r="J78" s="73">
        <f t="shared" si="59"/>
        <v>0</v>
      </c>
      <c r="K78" s="64">
        <f t="shared" si="60"/>
        <v>0</v>
      </c>
      <c r="L78" s="74" t="e">
        <f t="shared" si="61"/>
        <v>#DIV/0!</v>
      </c>
      <c r="M78" s="95"/>
      <c r="N78" s="76">
        <f t="shared" si="62"/>
        <v>0</v>
      </c>
      <c r="O78" s="1"/>
      <c r="P78" s="1"/>
      <c r="Q78" s="1"/>
      <c r="R78" s="1">
        <f t="shared" si="55"/>
        <v>0</v>
      </c>
    </row>
    <row r="79" spans="1:18" ht="16.5" thickBot="1" x14ac:dyDescent="0.3">
      <c r="A79" s="62"/>
      <c r="B79" s="53" t="s">
        <v>16</v>
      </c>
      <c r="C79" s="73"/>
      <c r="D79" s="73"/>
      <c r="E79" s="88">
        <f t="shared" si="57"/>
        <v>0</v>
      </c>
      <c r="F79" s="63"/>
      <c r="G79" s="70" t="e">
        <f t="shared" si="58"/>
        <v>#DIV/0!</v>
      </c>
      <c r="H79" s="83"/>
      <c r="I79" s="83"/>
      <c r="J79" s="73">
        <f t="shared" si="59"/>
        <v>0</v>
      </c>
      <c r="K79" s="64">
        <f t="shared" si="60"/>
        <v>0</v>
      </c>
      <c r="L79" s="74" t="e">
        <f t="shared" si="61"/>
        <v>#DIV/0!</v>
      </c>
      <c r="M79" s="95"/>
      <c r="N79" s="76">
        <f t="shared" si="62"/>
        <v>0</v>
      </c>
      <c r="O79" s="1"/>
      <c r="P79" s="1"/>
      <c r="Q79" s="1"/>
      <c r="R79" s="1">
        <f t="shared" si="55"/>
        <v>0</v>
      </c>
    </row>
    <row r="80" spans="1:18" ht="16.5" thickBot="1" x14ac:dyDescent="0.3">
      <c r="A80" s="77"/>
      <c r="B80" s="78"/>
      <c r="C80" s="77"/>
      <c r="D80" s="77" t="s">
        <v>17</v>
      </c>
      <c r="E80" s="77">
        <f>SUM(E72:E78)</f>
        <v>2347</v>
      </c>
      <c r="F80" s="54"/>
      <c r="G80" s="79" t="e">
        <f>AVERAGE(G72:G78)</f>
        <v>#DIV/0!</v>
      </c>
      <c r="H80" s="77"/>
      <c r="I80" s="80"/>
      <c r="J80" s="77">
        <f>SUM(J72:J78)</f>
        <v>2327</v>
      </c>
      <c r="K80" s="77">
        <f>SUM(K73:K78)</f>
        <v>213</v>
      </c>
      <c r="L80" s="79" t="e">
        <f>AVERAGE(L72:L78)</f>
        <v>#DIV/0!</v>
      </c>
      <c r="M80" s="78"/>
      <c r="N80" s="81">
        <f>SUM(N72:N79)</f>
        <v>8166960</v>
      </c>
      <c r="O80" s="1"/>
      <c r="P80" s="1"/>
      <c r="Q80" s="1"/>
      <c r="R80" s="1">
        <f t="shared" si="55"/>
        <v>0</v>
      </c>
    </row>
    <row r="81" spans="1:18" ht="16.5" thickBot="1" x14ac:dyDescent="0.3">
      <c r="A81" s="96"/>
      <c r="B81" s="52" t="s">
        <v>18</v>
      </c>
      <c r="C81" s="53"/>
      <c r="D81" s="53"/>
      <c r="E81" s="82">
        <f t="shared" ref="E81:E87" si="63">D81-C81</f>
        <v>0</v>
      </c>
      <c r="F81" s="54"/>
      <c r="G81" s="21" t="e">
        <f t="shared" ref="G81:G87" si="64">(F81/E81)*100</f>
        <v>#DIV/0!</v>
      </c>
      <c r="H81" s="71"/>
      <c r="I81" s="71"/>
      <c r="J81" s="52">
        <f t="shared" ref="J81:J87" si="65">I81-H81</f>
        <v>0</v>
      </c>
      <c r="K81" s="86">
        <f t="shared" ref="K81:K87" si="66">F81</f>
        <v>0</v>
      </c>
      <c r="L81" s="55" t="e">
        <f t="shared" ref="L81:L87" si="67">(K81/J81)*100</f>
        <v>#DIV/0!</v>
      </c>
      <c r="M81" s="56"/>
      <c r="N81" s="57">
        <f t="shared" ref="N81:N87" si="68">F81*M81</f>
        <v>0</v>
      </c>
      <c r="O81" s="1"/>
      <c r="P81" s="1"/>
      <c r="Q81" s="1"/>
      <c r="R81" s="1">
        <f t="shared" si="55"/>
        <v>0</v>
      </c>
    </row>
    <row r="82" spans="1:18" ht="16.5" thickBot="1" x14ac:dyDescent="0.3">
      <c r="A82" s="96"/>
      <c r="B82" s="53" t="s">
        <v>18</v>
      </c>
      <c r="C82" s="53"/>
      <c r="D82" s="53">
        <v>392889</v>
      </c>
      <c r="E82" s="20">
        <f t="shared" si="63"/>
        <v>392889</v>
      </c>
      <c r="F82" s="63"/>
      <c r="G82" s="21">
        <f t="shared" si="64"/>
        <v>0</v>
      </c>
      <c r="H82" s="71"/>
      <c r="I82" s="71">
        <v>35946</v>
      </c>
      <c r="J82" s="53">
        <f t="shared" si="65"/>
        <v>35946</v>
      </c>
      <c r="K82" s="64">
        <f t="shared" si="66"/>
        <v>0</v>
      </c>
      <c r="L82" s="60">
        <f t="shared" si="67"/>
        <v>0</v>
      </c>
      <c r="M82" s="56"/>
      <c r="N82" s="61">
        <f t="shared" si="68"/>
        <v>0</v>
      </c>
      <c r="O82" s="1"/>
      <c r="P82" s="1"/>
      <c r="Q82" s="1"/>
      <c r="R82" s="1">
        <f t="shared" si="55"/>
        <v>0</v>
      </c>
    </row>
    <row r="83" spans="1:18" x14ac:dyDescent="0.25">
      <c r="A83" s="97"/>
      <c r="B83" s="53" t="s">
        <v>18</v>
      </c>
      <c r="C83" s="53"/>
      <c r="D83" s="53"/>
      <c r="E83" s="20">
        <f t="shared" si="63"/>
        <v>0</v>
      </c>
      <c r="F83" s="63"/>
      <c r="G83" s="21" t="e">
        <f t="shared" si="64"/>
        <v>#DIV/0!</v>
      </c>
      <c r="H83" s="71"/>
      <c r="I83" s="71"/>
      <c r="J83" s="53">
        <f t="shared" si="65"/>
        <v>0</v>
      </c>
      <c r="K83" s="64">
        <f t="shared" si="66"/>
        <v>0</v>
      </c>
      <c r="L83" s="60" t="e">
        <f t="shared" si="67"/>
        <v>#DIV/0!</v>
      </c>
      <c r="M83" s="56"/>
      <c r="N83" s="61">
        <f t="shared" si="68"/>
        <v>0</v>
      </c>
      <c r="O83" s="1"/>
      <c r="P83" s="1"/>
      <c r="Q83" s="1"/>
      <c r="R83" s="1">
        <f t="shared" si="55"/>
        <v>0</v>
      </c>
    </row>
    <row r="84" spans="1:18" x14ac:dyDescent="0.25">
      <c r="A84" s="97"/>
      <c r="B84" s="53" t="s">
        <v>18</v>
      </c>
      <c r="C84" s="53"/>
      <c r="D84" s="53"/>
      <c r="E84" s="20">
        <f t="shared" si="63"/>
        <v>0</v>
      </c>
      <c r="F84" s="63"/>
      <c r="G84" s="21" t="e">
        <f t="shared" si="64"/>
        <v>#DIV/0!</v>
      </c>
      <c r="H84" s="71"/>
      <c r="I84" s="71"/>
      <c r="J84" s="53">
        <f t="shared" si="65"/>
        <v>0</v>
      </c>
      <c r="K84" s="64">
        <f t="shared" si="66"/>
        <v>0</v>
      </c>
      <c r="L84" s="60" t="e">
        <f t="shared" si="67"/>
        <v>#DIV/0!</v>
      </c>
      <c r="M84" s="65"/>
      <c r="N84" s="61">
        <f t="shared" si="68"/>
        <v>0</v>
      </c>
      <c r="O84" s="1"/>
      <c r="P84" s="1"/>
      <c r="Q84" s="1"/>
      <c r="R84" s="1">
        <f t="shared" si="55"/>
        <v>0</v>
      </c>
    </row>
    <row r="85" spans="1:18" x14ac:dyDescent="0.25">
      <c r="A85" s="62"/>
      <c r="B85" s="53" t="s">
        <v>18</v>
      </c>
      <c r="C85" s="53"/>
      <c r="D85" s="53"/>
      <c r="E85" s="20">
        <f t="shared" si="63"/>
        <v>0</v>
      </c>
      <c r="F85" s="63"/>
      <c r="G85" s="21" t="e">
        <f t="shared" si="64"/>
        <v>#DIV/0!</v>
      </c>
      <c r="H85" s="71"/>
      <c r="I85" s="71"/>
      <c r="J85" s="53">
        <f t="shared" si="65"/>
        <v>0</v>
      </c>
      <c r="K85" s="64">
        <f t="shared" si="66"/>
        <v>0</v>
      </c>
      <c r="L85" s="60" t="e">
        <f t="shared" si="67"/>
        <v>#DIV/0!</v>
      </c>
      <c r="M85" s="65"/>
      <c r="N85" s="61">
        <f t="shared" si="68"/>
        <v>0</v>
      </c>
      <c r="O85" s="1"/>
      <c r="P85" s="1"/>
      <c r="Q85" s="1"/>
      <c r="R85" s="1">
        <f t="shared" si="55"/>
        <v>0</v>
      </c>
    </row>
    <row r="86" spans="1:18" x14ac:dyDescent="0.25">
      <c r="A86" s="97"/>
      <c r="B86" s="53" t="s">
        <v>38</v>
      </c>
      <c r="C86" s="53"/>
      <c r="D86" s="53"/>
      <c r="E86" s="20">
        <f t="shared" si="63"/>
        <v>0</v>
      </c>
      <c r="F86" s="63"/>
      <c r="G86" s="21" t="e">
        <f t="shared" si="64"/>
        <v>#DIV/0!</v>
      </c>
      <c r="H86" s="71"/>
      <c r="I86" s="71"/>
      <c r="J86" s="53">
        <f t="shared" si="65"/>
        <v>0</v>
      </c>
      <c r="K86" s="64">
        <f t="shared" si="66"/>
        <v>0</v>
      </c>
      <c r="L86" s="60" t="e">
        <f t="shared" si="67"/>
        <v>#DIV/0!</v>
      </c>
      <c r="M86" s="65"/>
      <c r="N86" s="61">
        <f t="shared" si="68"/>
        <v>0</v>
      </c>
      <c r="O86" s="1"/>
      <c r="P86" s="1"/>
      <c r="Q86" s="1"/>
      <c r="R86" s="1">
        <f t="shared" si="55"/>
        <v>0</v>
      </c>
    </row>
    <row r="87" spans="1:18" ht="16.5" thickBot="1" x14ac:dyDescent="0.3">
      <c r="A87" s="98"/>
      <c r="B87" s="53" t="s">
        <v>38</v>
      </c>
      <c r="C87" s="73"/>
      <c r="D87" s="73"/>
      <c r="E87" s="88">
        <f t="shared" si="63"/>
        <v>0</v>
      </c>
      <c r="F87" s="63"/>
      <c r="G87" s="70" t="e">
        <f t="shared" si="64"/>
        <v>#DIV/0!</v>
      </c>
      <c r="H87" s="73"/>
      <c r="I87" s="83"/>
      <c r="J87" s="73">
        <f t="shared" si="65"/>
        <v>0</v>
      </c>
      <c r="K87" s="64">
        <f t="shared" si="66"/>
        <v>0</v>
      </c>
      <c r="L87" s="74" t="e">
        <f t="shared" si="67"/>
        <v>#DIV/0!</v>
      </c>
      <c r="M87" s="95"/>
      <c r="N87" s="76">
        <f t="shared" si="68"/>
        <v>0</v>
      </c>
      <c r="O87" s="1"/>
      <c r="P87" s="1"/>
      <c r="Q87" s="1"/>
      <c r="R87" s="1">
        <f t="shared" si="55"/>
        <v>0</v>
      </c>
    </row>
    <row r="88" spans="1:18" ht="16.5" thickBot="1" x14ac:dyDescent="0.3">
      <c r="A88" s="77"/>
      <c r="B88" s="78"/>
      <c r="C88" s="77"/>
      <c r="D88" s="77" t="s">
        <v>17</v>
      </c>
      <c r="E88" s="77">
        <f>SUM(E81:E87)</f>
        <v>392889</v>
      </c>
      <c r="F88" s="54"/>
      <c r="G88" s="79" t="e">
        <f>AVERAGE(G81:G87)</f>
        <v>#DIV/0!</v>
      </c>
      <c r="H88" s="77"/>
      <c r="I88" s="80"/>
      <c r="J88" s="77">
        <f t="shared" ref="J88:K88" si="69">SUM(J81:J87)</f>
        <v>35946</v>
      </c>
      <c r="K88" s="77">
        <f t="shared" si="69"/>
        <v>0</v>
      </c>
      <c r="L88" s="79" t="e">
        <f>AVERAGE(L81:L87)</f>
        <v>#DIV/0!</v>
      </c>
      <c r="M88" s="78"/>
      <c r="N88" s="81">
        <f>SUM(N81:N87)</f>
        <v>0</v>
      </c>
      <c r="O88" s="1"/>
      <c r="P88" s="1"/>
      <c r="Q88" s="1"/>
      <c r="R88" s="1">
        <f t="shared" si="55"/>
        <v>0</v>
      </c>
    </row>
    <row r="89" spans="1:18" ht="16.5" thickBot="1" x14ac:dyDescent="0.3">
      <c r="A89" s="62">
        <v>46238</v>
      </c>
      <c r="B89" s="86" t="s">
        <v>19</v>
      </c>
      <c r="C89" s="73">
        <v>229032</v>
      </c>
      <c r="D89" s="53">
        <v>229570</v>
      </c>
      <c r="E89" s="82">
        <f t="shared" ref="E89:E96" si="70">D89-C89</f>
        <v>538</v>
      </c>
      <c r="F89" s="54">
        <v>60</v>
      </c>
      <c r="G89" s="21">
        <f t="shared" ref="G89:G96" si="71">(F89/E89)*100</f>
        <v>11.152416356877323</v>
      </c>
      <c r="H89" s="83">
        <v>38033</v>
      </c>
      <c r="I89" s="71">
        <v>38515</v>
      </c>
      <c r="J89" s="52">
        <f t="shared" ref="J89:J96" si="72">I89-H89</f>
        <v>482</v>
      </c>
      <c r="K89" s="86">
        <f t="shared" ref="K89:K96" si="73">F89</f>
        <v>60</v>
      </c>
      <c r="L89" s="55">
        <f t="shared" ref="L89:L96" si="74">(K89/J89)*100</f>
        <v>12.448132780082988</v>
      </c>
      <c r="M89" s="56">
        <v>27620</v>
      </c>
      <c r="N89" s="57">
        <f t="shared" ref="N89:N96" si="75">F89*M89</f>
        <v>1657200</v>
      </c>
      <c r="O89" s="1"/>
      <c r="P89" s="1"/>
      <c r="Q89" s="1"/>
      <c r="R89" s="1">
        <f t="shared" si="55"/>
        <v>0</v>
      </c>
    </row>
    <row r="90" spans="1:18" x14ac:dyDescent="0.25">
      <c r="A90" s="62">
        <v>46241</v>
      </c>
      <c r="B90" s="53" t="s">
        <v>19</v>
      </c>
      <c r="C90" s="53">
        <v>229570</v>
      </c>
      <c r="D90" s="53">
        <v>230050</v>
      </c>
      <c r="E90" s="20">
        <f t="shared" si="70"/>
        <v>480</v>
      </c>
      <c r="F90" s="63">
        <v>69</v>
      </c>
      <c r="G90" s="21">
        <f t="shared" si="71"/>
        <v>14.374999999999998</v>
      </c>
      <c r="H90" s="71">
        <v>38515</v>
      </c>
      <c r="I90" s="71">
        <v>39015</v>
      </c>
      <c r="J90" s="53">
        <f t="shared" si="72"/>
        <v>500</v>
      </c>
      <c r="K90" s="64">
        <f t="shared" si="73"/>
        <v>69</v>
      </c>
      <c r="L90" s="60">
        <f t="shared" si="74"/>
        <v>13.8</v>
      </c>
      <c r="M90" s="56">
        <v>27540</v>
      </c>
      <c r="N90" s="61">
        <f t="shared" si="75"/>
        <v>1900260</v>
      </c>
      <c r="O90" s="1"/>
      <c r="P90" s="1"/>
      <c r="Q90" s="1"/>
      <c r="R90" s="1">
        <f t="shared" si="55"/>
        <v>0</v>
      </c>
    </row>
    <row r="91" spans="1:18" x14ac:dyDescent="0.25">
      <c r="A91" s="62">
        <v>46248</v>
      </c>
      <c r="B91" s="53" t="s">
        <v>19</v>
      </c>
      <c r="C91" s="53">
        <v>230050</v>
      </c>
      <c r="D91" s="53">
        <v>230411</v>
      </c>
      <c r="E91" s="20">
        <f t="shared" si="70"/>
        <v>361</v>
      </c>
      <c r="F91" s="63">
        <v>52</v>
      </c>
      <c r="G91" s="21">
        <f t="shared" si="71"/>
        <v>14.40443213296399</v>
      </c>
      <c r="H91" s="71">
        <v>39015</v>
      </c>
      <c r="I91" s="71">
        <v>39401</v>
      </c>
      <c r="J91" s="53">
        <f t="shared" si="72"/>
        <v>386</v>
      </c>
      <c r="K91" s="64">
        <f t="shared" si="73"/>
        <v>52</v>
      </c>
      <c r="L91" s="60">
        <f t="shared" si="74"/>
        <v>13.471502590673575</v>
      </c>
      <c r="M91" s="65">
        <v>27230</v>
      </c>
      <c r="N91" s="61">
        <f t="shared" si="75"/>
        <v>1415960</v>
      </c>
      <c r="O91" s="1"/>
      <c r="P91" s="1"/>
      <c r="Q91" s="1"/>
      <c r="R91" s="1">
        <f t="shared" si="55"/>
        <v>0</v>
      </c>
    </row>
    <row r="92" spans="1:18" x14ac:dyDescent="0.25">
      <c r="A92" s="62">
        <v>46253</v>
      </c>
      <c r="B92" s="53" t="s">
        <v>19</v>
      </c>
      <c r="C92" s="53">
        <v>230411</v>
      </c>
      <c r="D92" s="53">
        <v>230858</v>
      </c>
      <c r="E92" s="20">
        <f t="shared" si="70"/>
        <v>447</v>
      </c>
      <c r="F92" s="63">
        <v>60</v>
      </c>
      <c r="G92" s="21">
        <f t="shared" si="71"/>
        <v>13.422818791946309</v>
      </c>
      <c r="H92" s="71">
        <v>39401</v>
      </c>
      <c r="I92" s="71">
        <v>39865</v>
      </c>
      <c r="J92" s="53">
        <f t="shared" si="72"/>
        <v>464</v>
      </c>
      <c r="K92" s="64">
        <f t="shared" si="73"/>
        <v>60</v>
      </c>
      <c r="L92" s="60">
        <f t="shared" si="74"/>
        <v>12.931034482758621</v>
      </c>
      <c r="M92" s="65">
        <v>27230</v>
      </c>
      <c r="N92" s="61">
        <f t="shared" si="75"/>
        <v>1633800</v>
      </c>
      <c r="O92" s="1"/>
      <c r="P92" s="1"/>
      <c r="Q92" s="1"/>
      <c r="R92" s="1">
        <f t="shared" si="55"/>
        <v>0</v>
      </c>
    </row>
    <row r="93" spans="1:18" x14ac:dyDescent="0.25">
      <c r="A93" s="62">
        <v>46256</v>
      </c>
      <c r="B93" s="53" t="s">
        <v>19</v>
      </c>
      <c r="C93" s="53">
        <v>230858</v>
      </c>
      <c r="D93" s="53">
        <v>231367</v>
      </c>
      <c r="E93" s="20">
        <f t="shared" si="70"/>
        <v>509</v>
      </c>
      <c r="F93" s="63">
        <v>62</v>
      </c>
      <c r="G93" s="21">
        <f t="shared" si="71"/>
        <v>12.180746561886052</v>
      </c>
      <c r="H93" s="71">
        <v>39865</v>
      </c>
      <c r="I93" s="71">
        <v>40359</v>
      </c>
      <c r="J93" s="53">
        <f t="shared" si="72"/>
        <v>494</v>
      </c>
      <c r="K93" s="64">
        <f t="shared" si="73"/>
        <v>62</v>
      </c>
      <c r="L93" s="60">
        <f t="shared" si="74"/>
        <v>12.550607287449392</v>
      </c>
      <c r="M93" s="65">
        <v>28540</v>
      </c>
      <c r="N93" s="61">
        <f t="shared" si="75"/>
        <v>1769480</v>
      </c>
      <c r="O93" s="1"/>
      <c r="P93" s="1"/>
      <c r="Q93" s="1"/>
      <c r="R93" s="1">
        <f t="shared" si="55"/>
        <v>0</v>
      </c>
    </row>
    <row r="94" spans="1:18" x14ac:dyDescent="0.25">
      <c r="A94" s="97">
        <v>46262</v>
      </c>
      <c r="B94" s="53" t="s">
        <v>19</v>
      </c>
      <c r="C94" s="53">
        <v>231367</v>
      </c>
      <c r="D94" s="53">
        <v>231785</v>
      </c>
      <c r="E94" s="20">
        <f t="shared" si="70"/>
        <v>418</v>
      </c>
      <c r="F94" s="63">
        <v>57</v>
      </c>
      <c r="G94" s="21">
        <f t="shared" si="71"/>
        <v>13.636363636363635</v>
      </c>
      <c r="H94" s="71">
        <v>40359</v>
      </c>
      <c r="I94" s="71">
        <v>40765</v>
      </c>
      <c r="J94" s="53">
        <f t="shared" si="72"/>
        <v>406</v>
      </c>
      <c r="K94" s="64">
        <f t="shared" si="73"/>
        <v>57</v>
      </c>
      <c r="L94" s="60">
        <f t="shared" si="74"/>
        <v>14.039408866995073</v>
      </c>
      <c r="M94" s="65">
        <v>28080</v>
      </c>
      <c r="N94" s="61">
        <f t="shared" si="75"/>
        <v>1600560</v>
      </c>
      <c r="O94" s="1"/>
      <c r="P94" s="1"/>
      <c r="Q94" s="1"/>
      <c r="R94" s="1">
        <f t="shared" si="55"/>
        <v>0</v>
      </c>
    </row>
    <row r="95" spans="1:18" x14ac:dyDescent="0.25">
      <c r="A95" s="99"/>
      <c r="B95" s="53" t="s">
        <v>19</v>
      </c>
      <c r="C95" s="53"/>
      <c r="D95" s="73"/>
      <c r="E95" s="88">
        <f t="shared" si="70"/>
        <v>0</v>
      </c>
      <c r="F95" s="63"/>
      <c r="G95" s="70" t="e">
        <f t="shared" si="71"/>
        <v>#DIV/0!</v>
      </c>
      <c r="H95" s="71"/>
      <c r="I95" s="83"/>
      <c r="J95" s="73">
        <f t="shared" si="72"/>
        <v>0</v>
      </c>
      <c r="K95" s="64">
        <f t="shared" si="73"/>
        <v>0</v>
      </c>
      <c r="L95" s="74" t="e">
        <f t="shared" si="74"/>
        <v>#DIV/0!</v>
      </c>
      <c r="M95" s="95"/>
      <c r="N95" s="76">
        <f t="shared" si="75"/>
        <v>0</v>
      </c>
      <c r="O95" s="1"/>
      <c r="P95" s="1"/>
      <c r="Q95" s="1"/>
      <c r="R95" s="1">
        <f t="shared" si="55"/>
        <v>0</v>
      </c>
    </row>
    <row r="96" spans="1:18" ht="16.5" thickBot="1" x14ac:dyDescent="0.3">
      <c r="A96" s="99"/>
      <c r="B96" s="53" t="s">
        <v>19</v>
      </c>
      <c r="C96" s="73"/>
      <c r="D96" s="73"/>
      <c r="E96" s="88">
        <f t="shared" si="70"/>
        <v>0</v>
      </c>
      <c r="F96" s="63"/>
      <c r="G96" s="70" t="e">
        <f t="shared" si="71"/>
        <v>#DIV/0!</v>
      </c>
      <c r="H96" s="83"/>
      <c r="I96" s="83"/>
      <c r="J96" s="73">
        <f t="shared" si="72"/>
        <v>0</v>
      </c>
      <c r="K96" s="64">
        <f t="shared" si="73"/>
        <v>0</v>
      </c>
      <c r="L96" s="74" t="e">
        <f t="shared" si="74"/>
        <v>#DIV/0!</v>
      </c>
      <c r="M96" s="95"/>
      <c r="N96" s="76">
        <f t="shared" si="75"/>
        <v>0</v>
      </c>
      <c r="O96" s="1"/>
      <c r="P96" s="1"/>
      <c r="Q96" s="1"/>
      <c r="R96" s="1">
        <f t="shared" si="55"/>
        <v>0</v>
      </c>
    </row>
    <row r="97" spans="1:18" ht="16.5" thickBot="1" x14ac:dyDescent="0.3">
      <c r="A97" s="77"/>
      <c r="B97" s="78"/>
      <c r="C97" s="77"/>
      <c r="D97" s="77" t="s">
        <v>17</v>
      </c>
      <c r="E97" s="77">
        <f>SUM(E89:E95)</f>
        <v>2753</v>
      </c>
      <c r="F97" s="77"/>
      <c r="G97" s="79" t="e">
        <f>AVERAGE(G89:G95)</f>
        <v>#DIV/0!</v>
      </c>
      <c r="H97" s="77"/>
      <c r="I97" s="80"/>
      <c r="J97" s="77">
        <f t="shared" ref="J97:K97" si="76">SUM(J89:J95)</f>
        <v>2732</v>
      </c>
      <c r="K97" s="77">
        <f t="shared" si="76"/>
        <v>360</v>
      </c>
      <c r="L97" s="79" t="e">
        <f>AVERAGE(L89:L95)</f>
        <v>#DIV/0!</v>
      </c>
      <c r="M97" s="78"/>
      <c r="N97" s="81">
        <f>SUM(N89:N96)</f>
        <v>9977260</v>
      </c>
      <c r="O97" s="1"/>
      <c r="P97" s="1"/>
      <c r="Q97" s="1"/>
      <c r="R97" s="1">
        <f t="shared" si="55"/>
        <v>0</v>
      </c>
    </row>
    <row r="98" spans="1:18" ht="16.5" thickBot="1" x14ac:dyDescent="0.3">
      <c r="A98" s="100">
        <v>46238</v>
      </c>
      <c r="B98" s="101" t="s">
        <v>39</v>
      </c>
      <c r="C98" s="102">
        <v>184593</v>
      </c>
      <c r="D98" s="102">
        <v>185054</v>
      </c>
      <c r="E98" s="82">
        <f t="shared" ref="E98:E103" si="77">D98-C98</f>
        <v>461</v>
      </c>
      <c r="F98" s="54">
        <v>65</v>
      </c>
      <c r="G98" s="21">
        <f t="shared" ref="G98:G103" si="78">(F98/E98)*100</f>
        <v>14.099783080260304</v>
      </c>
      <c r="H98" s="71">
        <v>39864</v>
      </c>
      <c r="I98" s="71">
        <v>40321</v>
      </c>
      <c r="J98" s="52">
        <f t="shared" ref="J98:J103" si="79">I98-H98</f>
        <v>457</v>
      </c>
      <c r="K98" s="86">
        <f t="shared" ref="K98:K103" si="80">F98</f>
        <v>65</v>
      </c>
      <c r="L98" s="55">
        <f t="shared" ref="L98:L103" si="81">(K98/J98)*100</f>
        <v>14.223194748358861</v>
      </c>
      <c r="M98" s="56">
        <v>27620</v>
      </c>
      <c r="N98" s="57">
        <f t="shared" ref="N98:N103" si="82">F98*M98</f>
        <v>1795300</v>
      </c>
      <c r="O98" s="1"/>
      <c r="P98" s="1"/>
      <c r="Q98" s="1"/>
      <c r="R98" s="1">
        <f t="shared" si="55"/>
        <v>0</v>
      </c>
    </row>
    <row r="99" spans="1:18" x14ac:dyDescent="0.25">
      <c r="A99" s="89">
        <v>46246</v>
      </c>
      <c r="B99" s="53" t="s">
        <v>39</v>
      </c>
      <c r="C99" s="102">
        <v>185054</v>
      </c>
      <c r="D99" s="53">
        <v>185588</v>
      </c>
      <c r="E99" s="20">
        <f t="shared" si="77"/>
        <v>534</v>
      </c>
      <c r="F99" s="63">
        <v>63</v>
      </c>
      <c r="G99" s="21">
        <f t="shared" si="78"/>
        <v>11.797752808988763</v>
      </c>
      <c r="H99" s="71">
        <v>40321</v>
      </c>
      <c r="I99" s="71">
        <v>40831</v>
      </c>
      <c r="J99" s="53">
        <f t="shared" si="79"/>
        <v>510</v>
      </c>
      <c r="K99" s="64">
        <f t="shared" si="80"/>
        <v>63</v>
      </c>
      <c r="L99" s="60">
        <f t="shared" si="81"/>
        <v>12.352941176470589</v>
      </c>
      <c r="M99" s="56">
        <v>27540</v>
      </c>
      <c r="N99" s="61">
        <f t="shared" si="82"/>
        <v>1735020</v>
      </c>
      <c r="O99" s="1"/>
      <c r="P99" s="1"/>
      <c r="Q99" s="1"/>
      <c r="R99" s="1">
        <f t="shared" si="55"/>
        <v>0</v>
      </c>
    </row>
    <row r="100" spans="1:18" x14ac:dyDescent="0.25">
      <c r="A100" s="89">
        <v>46253</v>
      </c>
      <c r="B100" s="53" t="s">
        <v>39</v>
      </c>
      <c r="C100" s="53">
        <v>185588</v>
      </c>
      <c r="D100" s="53">
        <v>186094</v>
      </c>
      <c r="E100" s="20">
        <f t="shared" si="77"/>
        <v>506</v>
      </c>
      <c r="F100" s="63">
        <v>71</v>
      </c>
      <c r="G100" s="21">
        <f t="shared" si="78"/>
        <v>14.031620553359684</v>
      </c>
      <c r="H100" s="71">
        <v>40831</v>
      </c>
      <c r="I100" s="71">
        <v>41333</v>
      </c>
      <c r="J100" s="53">
        <f t="shared" si="79"/>
        <v>502</v>
      </c>
      <c r="K100" s="64">
        <f t="shared" si="80"/>
        <v>71</v>
      </c>
      <c r="L100" s="60">
        <f t="shared" si="81"/>
        <v>14.143426294820719</v>
      </c>
      <c r="M100" s="65">
        <v>27230</v>
      </c>
      <c r="N100" s="61">
        <f t="shared" si="82"/>
        <v>1933330</v>
      </c>
      <c r="O100" s="1"/>
      <c r="P100" s="1"/>
      <c r="Q100" s="1"/>
      <c r="R100" s="1">
        <f t="shared" si="55"/>
        <v>0</v>
      </c>
    </row>
    <row r="101" spans="1:18" x14ac:dyDescent="0.25">
      <c r="A101" s="89">
        <v>46259</v>
      </c>
      <c r="B101" s="53" t="s">
        <v>39</v>
      </c>
      <c r="C101" s="53">
        <v>186094</v>
      </c>
      <c r="D101" s="53">
        <v>186586</v>
      </c>
      <c r="E101" s="20">
        <f t="shared" si="77"/>
        <v>492</v>
      </c>
      <c r="F101" s="63">
        <v>66</v>
      </c>
      <c r="G101" s="21">
        <f t="shared" si="78"/>
        <v>13.414634146341465</v>
      </c>
      <c r="H101" s="71">
        <v>41333</v>
      </c>
      <c r="I101" s="71">
        <v>41827</v>
      </c>
      <c r="J101" s="53">
        <f t="shared" si="79"/>
        <v>494</v>
      </c>
      <c r="K101" s="64">
        <f t="shared" si="80"/>
        <v>66</v>
      </c>
      <c r="L101" s="60">
        <f t="shared" si="81"/>
        <v>13.360323886639677</v>
      </c>
      <c r="M101" s="65">
        <v>28540</v>
      </c>
      <c r="N101" s="61">
        <f t="shared" si="82"/>
        <v>1883640</v>
      </c>
      <c r="O101" s="1"/>
      <c r="P101" s="1"/>
      <c r="Q101" s="1"/>
      <c r="R101" s="1">
        <f t="shared" si="55"/>
        <v>0</v>
      </c>
    </row>
    <row r="102" spans="1:18" x14ac:dyDescent="0.25">
      <c r="A102" s="89">
        <v>46265</v>
      </c>
      <c r="B102" s="53" t="s">
        <v>39</v>
      </c>
      <c r="C102" s="53">
        <v>186586</v>
      </c>
      <c r="D102" s="102">
        <v>187070</v>
      </c>
      <c r="E102" s="20">
        <f t="shared" si="77"/>
        <v>484</v>
      </c>
      <c r="F102" s="63">
        <v>72</v>
      </c>
      <c r="G102" s="21">
        <f t="shared" si="78"/>
        <v>14.87603305785124</v>
      </c>
      <c r="H102" s="71">
        <v>41827</v>
      </c>
      <c r="I102" s="71">
        <v>42303</v>
      </c>
      <c r="J102" s="53">
        <f t="shared" si="79"/>
        <v>476</v>
      </c>
      <c r="K102" s="64">
        <f t="shared" si="80"/>
        <v>72</v>
      </c>
      <c r="L102" s="60">
        <f t="shared" si="81"/>
        <v>15.126050420168067</v>
      </c>
      <c r="M102" s="65">
        <v>28080</v>
      </c>
      <c r="N102" s="61">
        <f t="shared" si="82"/>
        <v>2021760</v>
      </c>
      <c r="O102" s="1"/>
      <c r="P102" s="1"/>
      <c r="Q102" s="1"/>
      <c r="R102" s="1">
        <f t="shared" si="55"/>
        <v>0</v>
      </c>
    </row>
    <row r="103" spans="1:18" ht="16.5" thickBot="1" x14ac:dyDescent="0.3">
      <c r="A103" s="103"/>
      <c r="B103" s="104" t="s">
        <v>39</v>
      </c>
      <c r="C103" s="105"/>
      <c r="D103" s="106"/>
      <c r="E103" s="20">
        <f t="shared" si="77"/>
        <v>0</v>
      </c>
      <c r="F103" s="63"/>
      <c r="G103" s="45" t="e">
        <f t="shared" si="78"/>
        <v>#DIV/0!</v>
      </c>
      <c r="H103" s="104"/>
      <c r="I103" s="107"/>
      <c r="J103" s="104">
        <f t="shared" si="79"/>
        <v>0</v>
      </c>
      <c r="K103" s="64">
        <f t="shared" si="80"/>
        <v>0</v>
      </c>
      <c r="L103" s="108" t="e">
        <f t="shared" si="81"/>
        <v>#DIV/0!</v>
      </c>
      <c r="M103" s="109"/>
      <c r="N103" s="110">
        <f t="shared" si="82"/>
        <v>0</v>
      </c>
      <c r="O103" s="1"/>
      <c r="P103" s="1"/>
      <c r="Q103" s="1"/>
      <c r="R103" s="1">
        <f t="shared" si="55"/>
        <v>0</v>
      </c>
    </row>
    <row r="104" spans="1:18" ht="16.5" thickBot="1" x14ac:dyDescent="0.3">
      <c r="A104" s="111"/>
      <c r="B104" s="112"/>
      <c r="C104" s="113"/>
      <c r="D104" s="114" t="s">
        <v>17</v>
      </c>
      <c r="E104" s="115">
        <f>SUM(E98:E103)</f>
        <v>2477</v>
      </c>
      <c r="F104" s="77"/>
      <c r="G104" s="116" t="e">
        <f>AVERAGE(G98:G103)</f>
        <v>#DIV/0!</v>
      </c>
      <c r="H104" s="113"/>
      <c r="I104" s="117"/>
      <c r="J104" s="114">
        <f t="shared" ref="J104:K104" si="83">SUM(J98:J103)</f>
        <v>2439</v>
      </c>
      <c r="K104" s="114">
        <f t="shared" si="83"/>
        <v>337</v>
      </c>
      <c r="L104" s="118" t="e">
        <f>AVERAGE(L98:L103)</f>
        <v>#DIV/0!</v>
      </c>
      <c r="M104" s="119"/>
      <c r="N104" s="120">
        <f>SUM(N98:N103)</f>
        <v>9369050</v>
      </c>
      <c r="O104" s="1"/>
      <c r="P104" s="1"/>
      <c r="Q104" s="1"/>
      <c r="R104" s="1">
        <f t="shared" si="55"/>
        <v>0</v>
      </c>
    </row>
    <row r="105" spans="1:18" ht="16.5" thickBot="1" x14ac:dyDescent="0.3">
      <c r="A105" s="121">
        <v>46241</v>
      </c>
      <c r="B105" s="93" t="s">
        <v>40</v>
      </c>
      <c r="C105" s="53">
        <v>138532</v>
      </c>
      <c r="D105" s="53">
        <v>139023</v>
      </c>
      <c r="E105" s="82">
        <f t="shared" ref="E105:E111" si="84">D105-C105</f>
        <v>491</v>
      </c>
      <c r="F105" s="54">
        <v>57</v>
      </c>
      <c r="G105" s="122">
        <f t="shared" ref="G105:G111" si="85">(F105/E105)*100</f>
        <v>11.608961303462321</v>
      </c>
      <c r="H105" s="71">
        <v>42533</v>
      </c>
      <c r="I105" s="53">
        <v>43000</v>
      </c>
      <c r="J105" s="93">
        <f t="shared" ref="J105:J111" si="86">I105-H105</f>
        <v>467</v>
      </c>
      <c r="K105" s="86">
        <f t="shared" ref="K105:K111" si="87">F105</f>
        <v>57</v>
      </c>
      <c r="L105" s="123">
        <f t="shared" ref="L105:L111" si="88">(K105/J105)*100</f>
        <v>12.205567451820128</v>
      </c>
      <c r="M105" s="124">
        <v>27620</v>
      </c>
      <c r="N105" s="61">
        <f t="shared" ref="N105:N111" si="89">F105*M105</f>
        <v>1574340</v>
      </c>
      <c r="O105" s="1"/>
      <c r="P105" s="1"/>
      <c r="Q105" s="1"/>
      <c r="R105" s="1">
        <f t="shared" si="55"/>
        <v>0</v>
      </c>
    </row>
    <row r="106" spans="1:18" ht="16.5" thickBot="1" x14ac:dyDescent="0.3">
      <c r="A106" s="125">
        <v>46246</v>
      </c>
      <c r="B106" s="53" t="s">
        <v>40</v>
      </c>
      <c r="C106" s="53">
        <v>139023</v>
      </c>
      <c r="D106" s="53">
        <v>139692</v>
      </c>
      <c r="E106" s="20">
        <f t="shared" si="84"/>
        <v>669</v>
      </c>
      <c r="F106" s="63">
        <v>81</v>
      </c>
      <c r="G106" s="21">
        <f t="shared" si="85"/>
        <v>12.107623318385651</v>
      </c>
      <c r="H106" s="53">
        <v>43000</v>
      </c>
      <c r="I106" s="19">
        <v>43657</v>
      </c>
      <c r="J106" s="53">
        <f t="shared" si="86"/>
        <v>657</v>
      </c>
      <c r="K106" s="86">
        <f t="shared" si="87"/>
        <v>81</v>
      </c>
      <c r="L106" s="60">
        <f t="shared" si="88"/>
        <v>12.328767123287671</v>
      </c>
      <c r="M106" s="65">
        <v>27540</v>
      </c>
      <c r="N106" s="61">
        <f t="shared" si="89"/>
        <v>2230740</v>
      </c>
      <c r="O106" s="1"/>
      <c r="P106" s="1"/>
      <c r="Q106" s="1"/>
      <c r="R106" s="1">
        <f t="shared" si="55"/>
        <v>0</v>
      </c>
    </row>
    <row r="107" spans="1:18" x14ac:dyDescent="0.25">
      <c r="A107" s="125">
        <v>46253</v>
      </c>
      <c r="B107" s="53" t="s">
        <v>40</v>
      </c>
      <c r="C107" s="53">
        <v>139692</v>
      </c>
      <c r="D107" s="53">
        <v>140217</v>
      </c>
      <c r="E107" s="20">
        <f t="shared" si="84"/>
        <v>525</v>
      </c>
      <c r="F107" s="63">
        <v>61</v>
      </c>
      <c r="G107" s="21">
        <f t="shared" si="85"/>
        <v>11.619047619047619</v>
      </c>
      <c r="H107" s="19">
        <v>43657</v>
      </c>
      <c r="I107" s="53">
        <v>44227</v>
      </c>
      <c r="J107" s="53">
        <f t="shared" si="86"/>
        <v>570</v>
      </c>
      <c r="K107" s="86">
        <f t="shared" si="87"/>
        <v>61</v>
      </c>
      <c r="L107" s="60">
        <f t="shared" si="88"/>
        <v>10.701754385964913</v>
      </c>
      <c r="M107" s="65">
        <v>27230</v>
      </c>
      <c r="N107" s="61">
        <f t="shared" si="89"/>
        <v>1661030</v>
      </c>
      <c r="O107" s="1"/>
      <c r="P107" s="90"/>
      <c r="Q107" s="1"/>
      <c r="R107" s="1">
        <f t="shared" si="55"/>
        <v>0</v>
      </c>
    </row>
    <row r="108" spans="1:18" x14ac:dyDescent="0.25">
      <c r="A108" s="125">
        <v>46258</v>
      </c>
      <c r="B108" s="53" t="s">
        <v>40</v>
      </c>
      <c r="C108" s="53">
        <v>140217</v>
      </c>
      <c r="D108" s="53">
        <v>140619</v>
      </c>
      <c r="E108" s="20">
        <f t="shared" si="84"/>
        <v>402</v>
      </c>
      <c r="F108" s="63">
        <v>45</v>
      </c>
      <c r="G108" s="21">
        <f t="shared" si="85"/>
        <v>11.194029850746269</v>
      </c>
      <c r="H108" s="53">
        <v>44227</v>
      </c>
      <c r="I108" s="53">
        <v>44629</v>
      </c>
      <c r="J108" s="53">
        <f t="shared" si="86"/>
        <v>402</v>
      </c>
      <c r="K108" s="64">
        <f t="shared" si="87"/>
        <v>45</v>
      </c>
      <c r="L108" s="60">
        <f t="shared" si="88"/>
        <v>11.194029850746269</v>
      </c>
      <c r="M108" s="65">
        <v>28540</v>
      </c>
      <c r="N108" s="61">
        <f t="shared" si="89"/>
        <v>1284300</v>
      </c>
      <c r="O108" s="1"/>
      <c r="P108" s="1"/>
      <c r="Q108" s="1"/>
      <c r="R108" s="1">
        <f t="shared" si="55"/>
        <v>0</v>
      </c>
    </row>
    <row r="109" spans="1:18" x14ac:dyDescent="0.25">
      <c r="A109" s="62">
        <v>46262</v>
      </c>
      <c r="B109" s="53" t="s">
        <v>40</v>
      </c>
      <c r="C109" s="53">
        <v>140619</v>
      </c>
      <c r="D109" s="53">
        <v>141180</v>
      </c>
      <c r="E109" s="20">
        <f t="shared" si="84"/>
        <v>561</v>
      </c>
      <c r="F109" s="63">
        <v>64</v>
      </c>
      <c r="G109" s="21">
        <f t="shared" si="85"/>
        <v>11.408199643493761</v>
      </c>
      <c r="H109" s="53">
        <v>44629</v>
      </c>
      <c r="I109" s="71">
        <v>45179</v>
      </c>
      <c r="J109" s="53">
        <f t="shared" si="86"/>
        <v>550</v>
      </c>
      <c r="K109" s="64">
        <f t="shared" si="87"/>
        <v>64</v>
      </c>
      <c r="L109" s="60">
        <f t="shared" si="88"/>
        <v>11.636363636363637</v>
      </c>
      <c r="M109" s="65">
        <v>28080</v>
      </c>
      <c r="N109" s="61">
        <f t="shared" si="89"/>
        <v>1797120</v>
      </c>
      <c r="O109" s="1"/>
      <c r="P109" s="1"/>
      <c r="Q109" s="1"/>
      <c r="R109" s="1">
        <f t="shared" si="55"/>
        <v>0</v>
      </c>
    </row>
    <row r="110" spans="1:18" x14ac:dyDescent="0.25">
      <c r="A110" s="62"/>
      <c r="B110" s="53" t="s">
        <v>40</v>
      </c>
      <c r="C110" s="53"/>
      <c r="D110" s="53"/>
      <c r="E110" s="20">
        <f t="shared" si="84"/>
        <v>0</v>
      </c>
      <c r="F110" s="63"/>
      <c r="G110" s="21" t="e">
        <f t="shared" si="85"/>
        <v>#DIV/0!</v>
      </c>
      <c r="H110" s="71"/>
      <c r="I110" s="71"/>
      <c r="J110" s="53">
        <f t="shared" si="86"/>
        <v>0</v>
      </c>
      <c r="K110" s="64">
        <f t="shared" si="87"/>
        <v>0</v>
      </c>
      <c r="L110" s="60" t="e">
        <f t="shared" si="88"/>
        <v>#DIV/0!</v>
      </c>
      <c r="M110" s="65"/>
      <c r="N110" s="61">
        <f t="shared" si="89"/>
        <v>0</v>
      </c>
      <c r="O110" s="1"/>
      <c r="P110" s="1"/>
      <c r="Q110" s="1"/>
      <c r="R110" s="1">
        <f t="shared" si="55"/>
        <v>0</v>
      </c>
    </row>
    <row r="111" spans="1:18" ht="16.5" thickBot="1" x14ac:dyDescent="0.3">
      <c r="A111" s="62"/>
      <c r="B111" s="53" t="s">
        <v>40</v>
      </c>
      <c r="C111" s="53"/>
      <c r="D111" s="73"/>
      <c r="E111" s="88">
        <f t="shared" si="84"/>
        <v>0</v>
      </c>
      <c r="F111" s="63"/>
      <c r="G111" s="70" t="e">
        <f t="shared" si="85"/>
        <v>#DIV/0!</v>
      </c>
      <c r="H111" s="71"/>
      <c r="I111" s="83"/>
      <c r="J111" s="73">
        <f t="shared" si="86"/>
        <v>0</v>
      </c>
      <c r="K111" s="64">
        <f t="shared" si="87"/>
        <v>0</v>
      </c>
      <c r="L111" s="74" t="e">
        <f t="shared" si="88"/>
        <v>#DIV/0!</v>
      </c>
      <c r="M111" s="95"/>
      <c r="N111" s="61">
        <f t="shared" si="89"/>
        <v>0</v>
      </c>
      <c r="O111" s="1"/>
      <c r="P111" s="1"/>
      <c r="Q111" s="1"/>
      <c r="R111" s="1">
        <f t="shared" si="55"/>
        <v>0</v>
      </c>
    </row>
    <row r="112" spans="1:18" ht="16.5" thickBot="1" x14ac:dyDescent="0.3">
      <c r="A112" s="77"/>
      <c r="B112" s="78"/>
      <c r="C112" s="77"/>
      <c r="D112" s="77" t="s">
        <v>17</v>
      </c>
      <c r="E112" s="77">
        <f>SUM(E98:E111)</f>
        <v>7602</v>
      </c>
      <c r="F112" s="77"/>
      <c r="G112" s="79" t="e">
        <f>AVERAGE(G98:G111)</f>
        <v>#DIV/0!</v>
      </c>
      <c r="H112" s="77"/>
      <c r="I112" s="80"/>
      <c r="J112" s="77">
        <f t="shared" ref="J112:K112" si="90">SUM(J98:J111)</f>
        <v>7524</v>
      </c>
      <c r="K112" s="77">
        <f t="shared" si="90"/>
        <v>982</v>
      </c>
      <c r="L112" s="79" t="e">
        <f>AVERAGE(L98:L111)</f>
        <v>#DIV/0!</v>
      </c>
      <c r="M112" s="78"/>
      <c r="N112" s="81">
        <f>SUM(N105:N111)</f>
        <v>8547530</v>
      </c>
      <c r="O112" s="1"/>
      <c r="P112" s="1"/>
      <c r="Q112" s="1"/>
      <c r="R112" s="1">
        <f t="shared" si="55"/>
        <v>0</v>
      </c>
    </row>
    <row r="113" spans="1:21" ht="16.5" thickBot="1" x14ac:dyDescent="0.3">
      <c r="A113" s="51">
        <v>46238</v>
      </c>
      <c r="B113" s="101" t="s">
        <v>41</v>
      </c>
      <c r="C113" s="53">
        <v>135150</v>
      </c>
      <c r="D113" s="19">
        <v>135763</v>
      </c>
      <c r="E113" s="82">
        <f t="shared" ref="E113:E119" si="91">D113-C113</f>
        <v>613</v>
      </c>
      <c r="F113" s="54">
        <v>74</v>
      </c>
      <c r="G113" s="21">
        <f t="shared" ref="G113:G119" si="92">(F113/E113)*100</f>
        <v>12.071778140293638</v>
      </c>
      <c r="H113" s="71">
        <v>132819</v>
      </c>
      <c r="I113" s="71">
        <v>133400</v>
      </c>
      <c r="J113" s="52">
        <f t="shared" ref="J113:J119" si="93">I113-H113</f>
        <v>581</v>
      </c>
      <c r="K113" s="86"/>
      <c r="L113" s="55">
        <f t="shared" ref="L113:L119" si="94">(K113/J113)*100</f>
        <v>0</v>
      </c>
      <c r="M113" s="56">
        <v>27620</v>
      </c>
      <c r="N113" s="57">
        <f t="shared" ref="N113:N119" si="95">F113*M113</f>
        <v>2043880</v>
      </c>
      <c r="O113" s="1"/>
      <c r="P113" s="1"/>
      <c r="Q113" s="1"/>
      <c r="R113" s="1">
        <f t="shared" si="55"/>
        <v>0</v>
      </c>
    </row>
    <row r="114" spans="1:21" ht="16.5" thickBot="1" x14ac:dyDescent="0.3">
      <c r="A114" s="51">
        <v>46244</v>
      </c>
      <c r="B114" s="64" t="s">
        <v>41</v>
      </c>
      <c r="C114" s="19">
        <v>135763</v>
      </c>
      <c r="D114" s="10">
        <v>136252</v>
      </c>
      <c r="E114" s="41">
        <f t="shared" si="91"/>
        <v>489</v>
      </c>
      <c r="F114" s="126">
        <v>62</v>
      </c>
      <c r="G114" s="21">
        <f t="shared" si="92"/>
        <v>12.678936605316974</v>
      </c>
      <c r="H114" s="71">
        <v>133400</v>
      </c>
      <c r="I114" s="10">
        <v>133925</v>
      </c>
      <c r="J114" s="53">
        <f t="shared" si="93"/>
        <v>525</v>
      </c>
      <c r="K114" s="64"/>
      <c r="L114" s="60">
        <f t="shared" si="94"/>
        <v>0</v>
      </c>
      <c r="M114" s="56">
        <v>27540</v>
      </c>
      <c r="N114" s="61">
        <f t="shared" si="95"/>
        <v>1707480</v>
      </c>
      <c r="O114" s="1"/>
      <c r="P114" s="1"/>
      <c r="Q114" s="1"/>
      <c r="R114" s="1">
        <f t="shared" si="55"/>
        <v>0</v>
      </c>
    </row>
    <row r="115" spans="1:21" x14ac:dyDescent="0.25">
      <c r="A115" s="51">
        <v>46251</v>
      </c>
      <c r="B115" s="53" t="s">
        <v>41</v>
      </c>
      <c r="C115" s="10">
        <v>136252</v>
      </c>
      <c r="D115" s="19">
        <v>136864</v>
      </c>
      <c r="E115" s="20">
        <f t="shared" si="91"/>
        <v>612</v>
      </c>
      <c r="F115" s="63">
        <v>74</v>
      </c>
      <c r="G115" s="21">
        <f t="shared" si="92"/>
        <v>12.091503267973856</v>
      </c>
      <c r="H115" s="10">
        <v>133925</v>
      </c>
      <c r="I115" s="71">
        <v>134520</v>
      </c>
      <c r="J115" s="53">
        <f t="shared" si="93"/>
        <v>595</v>
      </c>
      <c r="K115" s="64"/>
      <c r="L115" s="60">
        <f t="shared" si="94"/>
        <v>0</v>
      </c>
      <c r="M115" s="65">
        <v>27230</v>
      </c>
      <c r="N115" s="61">
        <f t="shared" si="95"/>
        <v>2015020</v>
      </c>
      <c r="O115" s="1"/>
      <c r="P115" s="1"/>
      <c r="Q115" s="1"/>
      <c r="R115" s="1">
        <f t="shared" si="55"/>
        <v>0</v>
      </c>
    </row>
    <row r="116" spans="1:21" x14ac:dyDescent="0.25">
      <c r="A116" s="62">
        <v>46255</v>
      </c>
      <c r="B116" s="53" t="s">
        <v>41</v>
      </c>
      <c r="C116" s="19">
        <v>136864</v>
      </c>
      <c r="D116" s="19">
        <v>137450</v>
      </c>
      <c r="E116" s="20">
        <f t="shared" si="91"/>
        <v>586</v>
      </c>
      <c r="F116" s="63">
        <v>69</v>
      </c>
      <c r="G116" s="21">
        <f t="shared" si="92"/>
        <v>11.774744027303754</v>
      </c>
      <c r="H116" s="71">
        <v>134520</v>
      </c>
      <c r="I116" s="71">
        <v>135084</v>
      </c>
      <c r="J116" s="53">
        <f t="shared" si="93"/>
        <v>564</v>
      </c>
      <c r="K116" s="64"/>
      <c r="L116" s="60">
        <f t="shared" si="94"/>
        <v>0</v>
      </c>
      <c r="M116" s="65">
        <v>28540</v>
      </c>
      <c r="N116" s="61">
        <f t="shared" si="95"/>
        <v>1969260</v>
      </c>
      <c r="O116" s="1"/>
      <c r="P116" s="1"/>
      <c r="Q116" s="1"/>
      <c r="R116" s="1">
        <f t="shared" si="55"/>
        <v>0</v>
      </c>
    </row>
    <row r="117" spans="1:21" x14ac:dyDescent="0.25">
      <c r="A117" s="62"/>
      <c r="B117" s="53" t="s">
        <v>41</v>
      </c>
      <c r="C117" s="19"/>
      <c r="D117" s="53"/>
      <c r="E117" s="20">
        <f t="shared" si="91"/>
        <v>0</v>
      </c>
      <c r="F117" s="63"/>
      <c r="G117" s="21" t="e">
        <f t="shared" si="92"/>
        <v>#DIV/0!</v>
      </c>
      <c r="H117" s="71"/>
      <c r="I117" s="71"/>
      <c r="J117" s="53">
        <f t="shared" si="93"/>
        <v>0</v>
      </c>
      <c r="K117" s="64">
        <f t="shared" ref="K117:K119" si="96">F117</f>
        <v>0</v>
      </c>
      <c r="L117" s="60" t="e">
        <f t="shared" si="94"/>
        <v>#DIV/0!</v>
      </c>
      <c r="M117" s="65"/>
      <c r="N117" s="61">
        <f t="shared" si="95"/>
        <v>0</v>
      </c>
      <c r="O117" s="1"/>
      <c r="P117" s="1"/>
      <c r="Q117" s="1"/>
      <c r="R117" s="1">
        <f t="shared" si="55"/>
        <v>0</v>
      </c>
    </row>
    <row r="118" spans="1:21" x14ac:dyDescent="0.25">
      <c r="A118" s="62"/>
      <c r="B118" s="53" t="s">
        <v>41</v>
      </c>
      <c r="C118" s="53"/>
      <c r="D118" s="53"/>
      <c r="E118" s="20">
        <f t="shared" si="91"/>
        <v>0</v>
      </c>
      <c r="F118" s="63"/>
      <c r="G118" s="21" t="e">
        <f t="shared" si="92"/>
        <v>#DIV/0!</v>
      </c>
      <c r="H118" s="71"/>
      <c r="I118" s="71"/>
      <c r="J118" s="53">
        <f t="shared" si="93"/>
        <v>0</v>
      </c>
      <c r="K118" s="64">
        <f t="shared" si="96"/>
        <v>0</v>
      </c>
      <c r="L118" s="60" t="e">
        <f t="shared" si="94"/>
        <v>#DIV/0!</v>
      </c>
      <c r="M118" s="65"/>
      <c r="N118" s="61">
        <f t="shared" si="95"/>
        <v>0</v>
      </c>
      <c r="O118" s="1"/>
      <c r="P118" s="1"/>
      <c r="Q118" s="1"/>
      <c r="R118" s="1">
        <f t="shared" si="55"/>
        <v>0</v>
      </c>
    </row>
    <row r="119" spans="1:21" ht="16.5" thickBot="1" x14ac:dyDescent="0.3">
      <c r="A119" s="98"/>
      <c r="B119" s="53" t="s">
        <v>41</v>
      </c>
      <c r="C119" s="73"/>
      <c r="D119" s="73"/>
      <c r="E119" s="88">
        <f t="shared" si="91"/>
        <v>0</v>
      </c>
      <c r="F119" s="63"/>
      <c r="G119" s="70" t="e">
        <f t="shared" si="92"/>
        <v>#DIV/0!</v>
      </c>
      <c r="H119" s="73"/>
      <c r="I119" s="83"/>
      <c r="J119" s="73">
        <f t="shared" si="93"/>
        <v>0</v>
      </c>
      <c r="K119" s="64">
        <f t="shared" si="96"/>
        <v>0</v>
      </c>
      <c r="L119" s="74" t="e">
        <f t="shared" si="94"/>
        <v>#DIV/0!</v>
      </c>
      <c r="M119" s="95"/>
      <c r="N119" s="76">
        <f t="shared" si="95"/>
        <v>0</v>
      </c>
      <c r="O119" s="1"/>
      <c r="P119" s="1"/>
      <c r="Q119" s="1"/>
      <c r="R119" s="1">
        <f t="shared" si="55"/>
        <v>0</v>
      </c>
    </row>
    <row r="120" spans="1:21" ht="16.5" thickBot="1" x14ac:dyDescent="0.3">
      <c r="A120" s="77"/>
      <c r="B120" s="78"/>
      <c r="C120" s="77"/>
      <c r="D120" s="77" t="s">
        <v>17</v>
      </c>
      <c r="E120" s="77">
        <f>SUM(E113:E119)</f>
        <v>2300</v>
      </c>
      <c r="F120" s="54"/>
      <c r="G120" s="79" t="e">
        <f>AVERAGE(G113:G119)</f>
        <v>#DIV/0!</v>
      </c>
      <c r="H120" s="77"/>
      <c r="I120" s="80"/>
      <c r="J120" s="77">
        <f t="shared" ref="J120:K120" si="97">SUM(J113:J119)</f>
        <v>2265</v>
      </c>
      <c r="K120" s="77">
        <f t="shared" si="97"/>
        <v>0</v>
      </c>
      <c r="L120" s="79" t="e">
        <f>AVERAGE(L113:L119)</f>
        <v>#DIV/0!</v>
      </c>
      <c r="M120" s="78"/>
      <c r="N120" s="81">
        <f>SUM(N113:N119)</f>
        <v>7735640</v>
      </c>
      <c r="O120" s="1"/>
      <c r="P120" s="1"/>
      <c r="Q120" s="1"/>
      <c r="R120" s="1">
        <f t="shared" si="55"/>
        <v>0</v>
      </c>
    </row>
    <row r="121" spans="1:21" ht="16.5" thickBot="1" x14ac:dyDescent="0.3">
      <c r="A121" s="51">
        <v>46244</v>
      </c>
      <c r="B121" s="101" t="s">
        <v>42</v>
      </c>
      <c r="C121" s="64">
        <v>187232</v>
      </c>
      <c r="D121" s="53">
        <v>187828</v>
      </c>
      <c r="E121" s="82">
        <f t="shared" ref="E121:E127" si="98">D121-C121</f>
        <v>596</v>
      </c>
      <c r="F121" s="54">
        <v>69</v>
      </c>
      <c r="G121" s="21">
        <f t="shared" ref="G121:G127" si="99">(F121/E121)*100</f>
        <v>11.577181208053691</v>
      </c>
      <c r="H121" s="71">
        <v>30807</v>
      </c>
      <c r="I121" s="71">
        <v>31401</v>
      </c>
      <c r="J121" s="52">
        <f t="shared" ref="J121:J127" si="100">I121-H121</f>
        <v>594</v>
      </c>
      <c r="K121" s="86">
        <f t="shared" ref="K121:K127" si="101">F121</f>
        <v>69</v>
      </c>
      <c r="L121" s="55">
        <f t="shared" ref="L121:L127" si="102">(K121/J121)*100</f>
        <v>11.616161616161616</v>
      </c>
      <c r="M121" s="127">
        <v>27540</v>
      </c>
      <c r="N121" s="57">
        <f t="shared" ref="N121:N127" si="103">F121*M121</f>
        <v>1900260</v>
      </c>
      <c r="O121" s="1"/>
      <c r="P121" s="1"/>
      <c r="Q121" s="1"/>
      <c r="R121" s="1">
        <f t="shared" si="55"/>
        <v>0</v>
      </c>
    </row>
    <row r="122" spans="1:21" x14ac:dyDescent="0.25">
      <c r="A122" s="128"/>
      <c r="B122" s="129" t="s">
        <v>42</v>
      </c>
      <c r="C122" s="53"/>
      <c r="D122" s="20"/>
      <c r="E122" s="20">
        <f t="shared" si="98"/>
        <v>0</v>
      </c>
      <c r="F122" s="54"/>
      <c r="G122" s="21" t="e">
        <f t="shared" si="99"/>
        <v>#DIV/0!</v>
      </c>
      <c r="H122" s="53"/>
      <c r="I122" s="53"/>
      <c r="J122" s="53">
        <f t="shared" si="100"/>
        <v>0</v>
      </c>
      <c r="K122" s="52">
        <f t="shared" si="101"/>
        <v>0</v>
      </c>
      <c r="L122" s="60" t="e">
        <f t="shared" si="102"/>
        <v>#DIV/0!</v>
      </c>
      <c r="M122" s="65"/>
      <c r="N122" s="130">
        <f t="shared" si="103"/>
        <v>0</v>
      </c>
      <c r="O122" s="24"/>
      <c r="P122" s="24"/>
      <c r="Q122" s="24"/>
      <c r="R122" s="24">
        <f t="shared" si="55"/>
        <v>0</v>
      </c>
      <c r="S122" s="131"/>
      <c r="T122" s="131"/>
      <c r="U122" s="131"/>
    </row>
    <row r="123" spans="1:21" x14ac:dyDescent="0.25">
      <c r="A123" s="132">
        <v>46252</v>
      </c>
      <c r="B123" s="133" t="s">
        <v>42</v>
      </c>
      <c r="C123" s="41">
        <v>188354</v>
      </c>
      <c r="D123" s="41">
        <v>189039</v>
      </c>
      <c r="E123" s="41">
        <f t="shared" si="98"/>
        <v>685</v>
      </c>
      <c r="F123" s="134">
        <v>69</v>
      </c>
      <c r="G123" s="21">
        <f t="shared" si="99"/>
        <v>10.072992700729927</v>
      </c>
      <c r="H123" s="71">
        <v>31911</v>
      </c>
      <c r="I123" s="53">
        <v>32503</v>
      </c>
      <c r="J123" s="53">
        <f t="shared" si="100"/>
        <v>592</v>
      </c>
      <c r="K123" s="64">
        <f t="shared" si="101"/>
        <v>69</v>
      </c>
      <c r="L123" s="60">
        <f t="shared" si="102"/>
        <v>11.655405405405405</v>
      </c>
      <c r="M123" s="65">
        <v>27230</v>
      </c>
      <c r="N123" s="130">
        <f t="shared" si="103"/>
        <v>1878870</v>
      </c>
      <c r="O123" s="1"/>
      <c r="P123" s="1"/>
      <c r="Q123" s="1"/>
      <c r="R123" s="1">
        <f t="shared" si="55"/>
        <v>0</v>
      </c>
    </row>
    <row r="124" spans="1:21" x14ac:dyDescent="0.25">
      <c r="A124" s="62">
        <v>46259</v>
      </c>
      <c r="B124" s="53" t="s">
        <v>42</v>
      </c>
      <c r="C124" s="41">
        <v>189039</v>
      </c>
      <c r="D124" s="53">
        <v>189606</v>
      </c>
      <c r="E124" s="20">
        <f t="shared" si="98"/>
        <v>567</v>
      </c>
      <c r="F124" s="63">
        <v>68</v>
      </c>
      <c r="G124" s="21">
        <f t="shared" si="99"/>
        <v>11.992945326278658</v>
      </c>
      <c r="H124" s="53">
        <v>32503</v>
      </c>
      <c r="I124" s="71">
        <v>33051</v>
      </c>
      <c r="J124" s="53">
        <f t="shared" si="100"/>
        <v>548</v>
      </c>
      <c r="K124" s="64">
        <f t="shared" si="101"/>
        <v>68</v>
      </c>
      <c r="L124" s="60">
        <f t="shared" si="102"/>
        <v>12.408759124087592</v>
      </c>
      <c r="M124" s="65">
        <v>28540</v>
      </c>
      <c r="N124" s="130">
        <f t="shared" si="103"/>
        <v>1940720</v>
      </c>
      <c r="O124" s="1"/>
      <c r="P124" s="1"/>
      <c r="Q124" s="1"/>
      <c r="R124" s="1">
        <f t="shared" si="55"/>
        <v>0</v>
      </c>
    </row>
    <row r="125" spans="1:21" x14ac:dyDescent="0.25">
      <c r="A125" s="62">
        <v>46265</v>
      </c>
      <c r="B125" s="64" t="s">
        <v>42</v>
      </c>
      <c r="C125" s="53">
        <v>189606</v>
      </c>
      <c r="D125" s="64">
        <v>190157</v>
      </c>
      <c r="E125" s="20">
        <f t="shared" si="98"/>
        <v>551</v>
      </c>
      <c r="F125" s="63">
        <v>75</v>
      </c>
      <c r="G125" s="21">
        <f t="shared" si="99"/>
        <v>13.611615245009073</v>
      </c>
      <c r="H125" s="71">
        <v>33051</v>
      </c>
      <c r="I125" s="71">
        <v>33607</v>
      </c>
      <c r="J125" s="53">
        <f t="shared" si="100"/>
        <v>556</v>
      </c>
      <c r="K125" s="64">
        <f t="shared" si="101"/>
        <v>75</v>
      </c>
      <c r="L125" s="60">
        <f t="shared" si="102"/>
        <v>13.489208633093524</v>
      </c>
      <c r="M125" s="65">
        <v>28080</v>
      </c>
      <c r="N125" s="130">
        <f t="shared" si="103"/>
        <v>2106000</v>
      </c>
      <c r="O125" s="1"/>
      <c r="P125" s="1"/>
      <c r="Q125" s="1"/>
      <c r="R125" s="1">
        <f t="shared" si="55"/>
        <v>0</v>
      </c>
    </row>
    <row r="126" spans="1:21" x14ac:dyDescent="0.25">
      <c r="A126" s="135"/>
      <c r="B126" s="53" t="s">
        <v>42</v>
      </c>
      <c r="C126" s="53"/>
      <c r="D126" s="53"/>
      <c r="E126" s="20">
        <f t="shared" si="98"/>
        <v>0</v>
      </c>
      <c r="F126" s="63"/>
      <c r="G126" s="21" t="e">
        <f t="shared" si="99"/>
        <v>#DIV/0!</v>
      </c>
      <c r="H126" s="53"/>
      <c r="I126" s="71"/>
      <c r="J126" s="53">
        <f t="shared" si="100"/>
        <v>0</v>
      </c>
      <c r="K126" s="64">
        <f t="shared" si="101"/>
        <v>0</v>
      </c>
      <c r="L126" s="60" t="e">
        <f t="shared" si="102"/>
        <v>#DIV/0!</v>
      </c>
      <c r="M126" s="65"/>
      <c r="N126" s="130">
        <f t="shared" si="103"/>
        <v>0</v>
      </c>
      <c r="O126" s="1"/>
      <c r="P126" s="1"/>
      <c r="Q126" s="1"/>
      <c r="R126" s="1">
        <f t="shared" si="55"/>
        <v>0</v>
      </c>
    </row>
    <row r="127" spans="1:21" ht="16.5" thickBot="1" x14ac:dyDescent="0.3">
      <c r="A127" s="98"/>
      <c r="B127" s="53" t="s">
        <v>42</v>
      </c>
      <c r="C127" s="73"/>
      <c r="D127" s="73"/>
      <c r="E127" s="88">
        <f t="shared" si="98"/>
        <v>0</v>
      </c>
      <c r="F127" s="63"/>
      <c r="G127" s="70" t="e">
        <f t="shared" si="99"/>
        <v>#DIV/0!</v>
      </c>
      <c r="H127" s="73"/>
      <c r="I127" s="83"/>
      <c r="J127" s="73">
        <f t="shared" si="100"/>
        <v>0</v>
      </c>
      <c r="K127" s="64">
        <f t="shared" si="101"/>
        <v>0</v>
      </c>
      <c r="L127" s="74" t="e">
        <f t="shared" si="102"/>
        <v>#DIV/0!</v>
      </c>
      <c r="M127" s="95"/>
      <c r="N127" s="136">
        <f t="shared" si="103"/>
        <v>0</v>
      </c>
      <c r="O127" s="1"/>
      <c r="P127" s="1"/>
      <c r="Q127" s="1"/>
      <c r="R127" s="1">
        <f t="shared" si="55"/>
        <v>0</v>
      </c>
    </row>
    <row r="128" spans="1:21" ht="16.5" thickBot="1" x14ac:dyDescent="0.3">
      <c r="A128" s="77"/>
      <c r="B128" s="78"/>
      <c r="C128" s="77"/>
      <c r="D128" s="77" t="s">
        <v>17</v>
      </c>
      <c r="E128" s="77">
        <f>SUM(E121:E127)</f>
        <v>2399</v>
      </c>
      <c r="F128" s="77"/>
      <c r="G128" s="79" t="e">
        <f>AVERAGE(G121:G127)</f>
        <v>#DIV/0!</v>
      </c>
      <c r="H128" s="77"/>
      <c r="I128" s="80"/>
      <c r="J128" s="77">
        <f t="shared" ref="J128:K128" si="104">SUM(J121:J127)</f>
        <v>2290</v>
      </c>
      <c r="K128" s="77">
        <f t="shared" si="104"/>
        <v>281</v>
      </c>
      <c r="L128" s="79" t="e">
        <f>AVERAGE(L121:L127)</f>
        <v>#DIV/0!</v>
      </c>
      <c r="M128" s="78"/>
      <c r="N128" s="81">
        <f>SUM(N121:N127)</f>
        <v>7825850</v>
      </c>
      <c r="O128" s="1"/>
      <c r="P128" s="1"/>
      <c r="Q128" s="1"/>
      <c r="R128" s="1">
        <f t="shared" si="55"/>
        <v>0</v>
      </c>
    </row>
    <row r="129" spans="1:18" ht="16.5" thickBot="1" x14ac:dyDescent="0.3">
      <c r="A129" s="51">
        <v>46246</v>
      </c>
      <c r="B129" s="101" t="s">
        <v>43</v>
      </c>
      <c r="C129" s="64">
        <v>156787</v>
      </c>
      <c r="D129" s="53">
        <v>157424</v>
      </c>
      <c r="E129" s="82">
        <f t="shared" ref="E129:E135" si="105">D129-C129</f>
        <v>637</v>
      </c>
      <c r="F129" s="54">
        <v>69</v>
      </c>
      <c r="G129" s="21">
        <f t="shared" ref="G129:G135" si="106">(F129/E129)*100</f>
        <v>10.832025117739404</v>
      </c>
      <c r="H129" s="53"/>
      <c r="I129" s="71"/>
      <c r="J129" s="52">
        <f t="shared" ref="J129:J135" si="107">I129-H129</f>
        <v>0</v>
      </c>
      <c r="K129" s="86">
        <f t="shared" ref="K129:K135" si="108">F129</f>
        <v>69</v>
      </c>
      <c r="L129" s="55" t="e">
        <f t="shared" ref="L129:L135" si="109">(K129/J129)*100</f>
        <v>#DIV/0!</v>
      </c>
      <c r="M129" s="127">
        <v>27540</v>
      </c>
      <c r="N129" s="57">
        <f t="shared" ref="N129:N135" si="110">F129*M129</f>
        <v>1900260</v>
      </c>
      <c r="O129" s="1"/>
      <c r="P129" s="1"/>
      <c r="Q129" s="1"/>
      <c r="R129" s="1"/>
    </row>
    <row r="130" spans="1:18" x14ac:dyDescent="0.25">
      <c r="A130" s="51">
        <v>46265</v>
      </c>
      <c r="B130" s="101" t="s">
        <v>43</v>
      </c>
      <c r="C130" s="53"/>
      <c r="D130" s="41"/>
      <c r="E130" s="41">
        <f t="shared" si="105"/>
        <v>0</v>
      </c>
      <c r="F130" s="134">
        <v>61</v>
      </c>
      <c r="G130" s="21" t="e">
        <f t="shared" si="106"/>
        <v>#DIV/0!</v>
      </c>
      <c r="H130" s="71"/>
      <c r="I130" s="71"/>
      <c r="J130" s="53">
        <f t="shared" si="107"/>
        <v>0</v>
      </c>
      <c r="K130" s="64">
        <f t="shared" si="108"/>
        <v>61</v>
      </c>
      <c r="L130" s="60" t="e">
        <f t="shared" si="109"/>
        <v>#DIV/0!</v>
      </c>
      <c r="M130" s="65">
        <v>28080</v>
      </c>
      <c r="N130" s="130">
        <f t="shared" si="110"/>
        <v>1712880</v>
      </c>
      <c r="O130" s="1"/>
      <c r="P130" s="1"/>
      <c r="Q130" s="1"/>
      <c r="R130" s="1"/>
    </row>
    <row r="131" spans="1:18" x14ac:dyDescent="0.25">
      <c r="A131" s="132">
        <v>46254</v>
      </c>
      <c r="B131" s="101" t="s">
        <v>43</v>
      </c>
      <c r="C131" s="41">
        <v>158006</v>
      </c>
      <c r="D131" s="41">
        <v>158568</v>
      </c>
      <c r="E131" s="41">
        <f t="shared" si="105"/>
        <v>562</v>
      </c>
      <c r="F131" s="134">
        <v>70</v>
      </c>
      <c r="G131" s="21">
        <f t="shared" si="106"/>
        <v>12.455516014234876</v>
      </c>
      <c r="H131" s="71"/>
      <c r="I131" s="53"/>
      <c r="J131" s="53">
        <f t="shared" si="107"/>
        <v>0</v>
      </c>
      <c r="K131" s="64">
        <f t="shared" si="108"/>
        <v>70</v>
      </c>
      <c r="L131" s="60" t="e">
        <f t="shared" si="109"/>
        <v>#DIV/0!</v>
      </c>
      <c r="M131" s="65">
        <v>28540</v>
      </c>
      <c r="N131" s="130">
        <f t="shared" si="110"/>
        <v>1997800</v>
      </c>
      <c r="O131" s="1"/>
      <c r="P131" s="1"/>
      <c r="Q131" s="1"/>
      <c r="R131" s="1"/>
    </row>
    <row r="132" spans="1:18" x14ac:dyDescent="0.25">
      <c r="A132" s="62">
        <v>46260</v>
      </c>
      <c r="B132" s="101" t="s">
        <v>43</v>
      </c>
      <c r="C132" s="41">
        <v>158568</v>
      </c>
      <c r="D132" s="53">
        <v>159148</v>
      </c>
      <c r="E132" s="20">
        <f t="shared" si="105"/>
        <v>580</v>
      </c>
      <c r="F132" s="63">
        <v>65</v>
      </c>
      <c r="G132" s="21">
        <f t="shared" si="106"/>
        <v>11.206896551724139</v>
      </c>
      <c r="H132" s="53"/>
      <c r="I132" s="71"/>
      <c r="J132" s="53">
        <f t="shared" si="107"/>
        <v>0</v>
      </c>
      <c r="K132" s="64">
        <f t="shared" si="108"/>
        <v>65</v>
      </c>
      <c r="L132" s="60" t="e">
        <f t="shared" si="109"/>
        <v>#DIV/0!</v>
      </c>
      <c r="M132" s="65">
        <v>28540</v>
      </c>
      <c r="N132" s="130">
        <f t="shared" si="110"/>
        <v>1855100</v>
      </c>
      <c r="O132" s="1"/>
      <c r="P132" s="1"/>
      <c r="Q132" s="1"/>
      <c r="R132" s="1"/>
    </row>
    <row r="133" spans="1:18" x14ac:dyDescent="0.25">
      <c r="A133" s="62">
        <v>46239</v>
      </c>
      <c r="B133" s="101" t="s">
        <v>43</v>
      </c>
      <c r="C133" s="53"/>
      <c r="D133" s="64"/>
      <c r="E133" s="20">
        <f t="shared" si="105"/>
        <v>0</v>
      </c>
      <c r="F133" s="63">
        <v>75</v>
      </c>
      <c r="G133" s="21" t="e">
        <f t="shared" si="106"/>
        <v>#DIV/0!</v>
      </c>
      <c r="H133" s="53"/>
      <c r="I133" s="71"/>
      <c r="J133" s="53">
        <f t="shared" si="107"/>
        <v>0</v>
      </c>
      <c r="K133" s="64">
        <f t="shared" si="108"/>
        <v>75</v>
      </c>
      <c r="L133" s="60" t="e">
        <f t="shared" si="109"/>
        <v>#DIV/0!</v>
      </c>
      <c r="M133" s="65">
        <v>27620</v>
      </c>
      <c r="N133" s="130">
        <f t="shared" si="110"/>
        <v>2071500</v>
      </c>
      <c r="O133" s="1"/>
      <c r="P133" s="1"/>
      <c r="Q133" s="1"/>
      <c r="R133" s="1"/>
    </row>
    <row r="134" spans="1:18" x14ac:dyDescent="0.25">
      <c r="A134" s="135"/>
      <c r="B134" s="101" t="s">
        <v>43</v>
      </c>
      <c r="C134" s="53"/>
      <c r="D134" s="53"/>
      <c r="E134" s="20">
        <f t="shared" si="105"/>
        <v>0</v>
      </c>
      <c r="F134" s="63"/>
      <c r="G134" s="21" t="e">
        <f t="shared" si="106"/>
        <v>#DIV/0!</v>
      </c>
      <c r="H134" s="53"/>
      <c r="I134" s="71"/>
      <c r="J134" s="53">
        <f t="shared" si="107"/>
        <v>0</v>
      </c>
      <c r="K134" s="64">
        <f t="shared" si="108"/>
        <v>0</v>
      </c>
      <c r="L134" s="60" t="e">
        <f t="shared" si="109"/>
        <v>#DIV/0!</v>
      </c>
      <c r="M134" s="65"/>
      <c r="N134" s="130">
        <f t="shared" si="110"/>
        <v>0</v>
      </c>
      <c r="O134" s="1"/>
      <c r="P134" s="1"/>
      <c r="Q134" s="1"/>
      <c r="R134" s="1"/>
    </row>
    <row r="135" spans="1:18" ht="16.5" thickBot="1" x14ac:dyDescent="0.3">
      <c r="A135" s="98"/>
      <c r="B135" s="101" t="s">
        <v>43</v>
      </c>
      <c r="C135" s="73"/>
      <c r="D135" s="73"/>
      <c r="E135" s="88">
        <f t="shared" si="105"/>
        <v>0</v>
      </c>
      <c r="F135" s="63"/>
      <c r="G135" s="70" t="e">
        <f t="shared" si="106"/>
        <v>#DIV/0!</v>
      </c>
      <c r="H135" s="73"/>
      <c r="I135" s="83"/>
      <c r="J135" s="73">
        <f t="shared" si="107"/>
        <v>0</v>
      </c>
      <c r="K135" s="64">
        <f t="shared" si="108"/>
        <v>0</v>
      </c>
      <c r="L135" s="74" t="e">
        <f t="shared" si="109"/>
        <v>#DIV/0!</v>
      </c>
      <c r="M135" s="95"/>
      <c r="N135" s="136">
        <f t="shared" si="110"/>
        <v>0</v>
      </c>
      <c r="O135" s="1"/>
      <c r="P135" s="1"/>
      <c r="Q135" s="1"/>
      <c r="R135" s="1"/>
    </row>
    <row r="136" spans="1:18" ht="16.5" thickBot="1" x14ac:dyDescent="0.3">
      <c r="A136" s="77"/>
      <c r="B136" s="78"/>
      <c r="C136" s="77"/>
      <c r="D136" s="77" t="s">
        <v>17</v>
      </c>
      <c r="E136" s="77">
        <f>SUM(E129:E135)</f>
        <v>1779</v>
      </c>
      <c r="F136" s="77"/>
      <c r="G136" s="79" t="e">
        <f>AVERAGE(G129:G135)</f>
        <v>#DIV/0!</v>
      </c>
      <c r="H136" s="77"/>
      <c r="I136" s="80"/>
      <c r="J136" s="77">
        <f t="shared" ref="J136:K136" si="111">SUM(J129:J135)</f>
        <v>0</v>
      </c>
      <c r="K136" s="77">
        <f t="shared" si="111"/>
        <v>340</v>
      </c>
      <c r="L136" s="79" t="e">
        <f>AVERAGE(L129:L135)</f>
        <v>#DIV/0!</v>
      </c>
      <c r="M136" s="78"/>
      <c r="N136" s="81">
        <f>SUM(N129:N135)</f>
        <v>9537540</v>
      </c>
      <c r="O136" s="1"/>
      <c r="P136" s="1"/>
      <c r="Q136" s="1"/>
      <c r="R136" s="1"/>
    </row>
    <row r="137" spans="1:18" x14ac:dyDescent="0.25">
      <c r="A137" s="51">
        <v>46237</v>
      </c>
      <c r="B137" s="101" t="s">
        <v>44</v>
      </c>
      <c r="C137" s="93"/>
      <c r="D137" s="19"/>
      <c r="E137" s="82">
        <f t="shared" ref="E137:E147" si="112">D137-C137</f>
        <v>0</v>
      </c>
      <c r="F137" s="54">
        <v>90</v>
      </c>
      <c r="G137" s="21" t="e">
        <f t="shared" ref="G137:G147" si="113">(F137/E137)*100</f>
        <v>#DIV/0!</v>
      </c>
      <c r="H137" s="137"/>
      <c r="I137" s="138"/>
      <c r="J137" s="52">
        <f t="shared" ref="J137:J147" si="114">I137-H137</f>
        <v>0</v>
      </c>
      <c r="K137" s="64">
        <f t="shared" ref="K137:K141" si="115">F137</f>
        <v>90</v>
      </c>
      <c r="L137" s="55" t="e">
        <f t="shared" ref="L137:L147" si="116">(K137/J137)*100</f>
        <v>#DIV/0!</v>
      </c>
      <c r="M137" s="56">
        <v>27620</v>
      </c>
      <c r="N137" s="130">
        <f t="shared" ref="N137:N147" si="117">F137*M137</f>
        <v>2485800</v>
      </c>
      <c r="O137" s="1"/>
      <c r="P137" s="1"/>
      <c r="Q137" s="1"/>
      <c r="R137" s="1">
        <f t="shared" ref="R137:R144" si="118">Q137</f>
        <v>0</v>
      </c>
    </row>
    <row r="138" spans="1:18" x14ac:dyDescent="0.25">
      <c r="A138" s="62">
        <v>46241</v>
      </c>
      <c r="B138" s="101" t="s">
        <v>44</v>
      </c>
      <c r="C138" s="53"/>
      <c r="D138" s="19"/>
      <c r="E138" s="20">
        <f t="shared" si="112"/>
        <v>0</v>
      </c>
      <c r="F138" s="63">
        <v>90</v>
      </c>
      <c r="G138" s="21" t="e">
        <f t="shared" si="113"/>
        <v>#DIV/0!</v>
      </c>
      <c r="H138" s="71"/>
      <c r="I138" s="71"/>
      <c r="J138" s="53">
        <f t="shared" si="114"/>
        <v>0</v>
      </c>
      <c r="K138" s="64">
        <f t="shared" si="115"/>
        <v>90</v>
      </c>
      <c r="L138" s="60" t="e">
        <f t="shared" si="116"/>
        <v>#DIV/0!</v>
      </c>
      <c r="M138" s="65">
        <v>27540</v>
      </c>
      <c r="N138" s="130">
        <f t="shared" si="117"/>
        <v>2478600</v>
      </c>
      <c r="O138" s="1"/>
      <c r="P138" s="1"/>
      <c r="Q138" s="1"/>
      <c r="R138" s="1">
        <f t="shared" si="118"/>
        <v>0</v>
      </c>
    </row>
    <row r="139" spans="1:18" x14ac:dyDescent="0.25">
      <c r="A139" s="62">
        <v>46245</v>
      </c>
      <c r="B139" s="101" t="s">
        <v>44</v>
      </c>
      <c r="C139" s="53"/>
      <c r="D139" s="53"/>
      <c r="E139" s="20">
        <f t="shared" si="112"/>
        <v>0</v>
      </c>
      <c r="F139" s="63">
        <v>83</v>
      </c>
      <c r="G139" s="21" t="e">
        <f t="shared" si="113"/>
        <v>#DIV/0!</v>
      </c>
      <c r="H139" s="53"/>
      <c r="I139" s="71"/>
      <c r="J139" s="53">
        <f t="shared" si="114"/>
        <v>0</v>
      </c>
      <c r="K139" s="64">
        <f t="shared" si="115"/>
        <v>83</v>
      </c>
      <c r="L139" s="60" t="e">
        <f t="shared" si="116"/>
        <v>#DIV/0!</v>
      </c>
      <c r="M139" s="65">
        <v>27540</v>
      </c>
      <c r="N139" s="130">
        <f t="shared" si="117"/>
        <v>2285820</v>
      </c>
      <c r="O139" s="1"/>
      <c r="P139" s="1"/>
      <c r="Q139" s="1"/>
      <c r="R139" s="1">
        <f t="shared" si="118"/>
        <v>0</v>
      </c>
    </row>
    <row r="140" spans="1:18" x14ac:dyDescent="0.25">
      <c r="A140" s="62">
        <v>46248</v>
      </c>
      <c r="B140" s="101" t="s">
        <v>44</v>
      </c>
      <c r="C140" s="53"/>
      <c r="D140" s="53"/>
      <c r="E140" s="20">
        <f t="shared" si="112"/>
        <v>0</v>
      </c>
      <c r="F140" s="63">
        <v>95</v>
      </c>
      <c r="G140" s="21" t="e">
        <f t="shared" si="113"/>
        <v>#DIV/0!</v>
      </c>
      <c r="H140" s="53"/>
      <c r="I140" s="71"/>
      <c r="J140" s="53">
        <f t="shared" si="114"/>
        <v>0</v>
      </c>
      <c r="K140" s="64">
        <f t="shared" si="115"/>
        <v>95</v>
      </c>
      <c r="L140" s="60" t="e">
        <f t="shared" si="116"/>
        <v>#DIV/0!</v>
      </c>
      <c r="M140" s="65">
        <v>27230</v>
      </c>
      <c r="N140" s="130">
        <f t="shared" si="117"/>
        <v>2586850</v>
      </c>
      <c r="O140" s="1"/>
      <c r="P140" s="1"/>
      <c r="Q140" s="1"/>
      <c r="R140" s="1">
        <f t="shared" si="118"/>
        <v>0</v>
      </c>
    </row>
    <row r="141" spans="1:18" x14ac:dyDescent="0.25">
      <c r="A141" s="62">
        <v>46248</v>
      </c>
      <c r="B141" s="101" t="s">
        <v>44</v>
      </c>
      <c r="C141" s="53"/>
      <c r="D141" s="53"/>
      <c r="E141" s="20">
        <f t="shared" si="112"/>
        <v>0</v>
      </c>
      <c r="F141" s="63">
        <v>77</v>
      </c>
      <c r="G141" s="21" t="e">
        <f t="shared" si="113"/>
        <v>#DIV/0!</v>
      </c>
      <c r="H141" s="53"/>
      <c r="I141" s="71"/>
      <c r="J141" s="53">
        <f t="shared" si="114"/>
        <v>0</v>
      </c>
      <c r="K141" s="64">
        <f t="shared" si="115"/>
        <v>77</v>
      </c>
      <c r="L141" s="60" t="e">
        <f t="shared" si="116"/>
        <v>#DIV/0!</v>
      </c>
      <c r="M141" s="65">
        <v>27230</v>
      </c>
      <c r="N141" s="130">
        <f t="shared" si="117"/>
        <v>2096710</v>
      </c>
      <c r="O141" s="1"/>
      <c r="P141" s="1"/>
      <c r="Q141" s="1"/>
      <c r="R141" s="1">
        <f t="shared" si="118"/>
        <v>0</v>
      </c>
    </row>
    <row r="142" spans="1:18" x14ac:dyDescent="0.25">
      <c r="A142" s="62">
        <v>46253</v>
      </c>
      <c r="B142" s="101" t="s">
        <v>44</v>
      </c>
      <c r="C142" s="53"/>
      <c r="D142" s="53"/>
      <c r="E142" s="20">
        <f t="shared" si="112"/>
        <v>0</v>
      </c>
      <c r="F142" s="63">
        <v>83</v>
      </c>
      <c r="G142" s="21" t="e">
        <f t="shared" si="113"/>
        <v>#DIV/0!</v>
      </c>
      <c r="H142" s="53"/>
      <c r="I142" s="71"/>
      <c r="J142" s="53">
        <f t="shared" si="114"/>
        <v>0</v>
      </c>
      <c r="K142" s="64"/>
      <c r="L142" s="60" t="e">
        <f t="shared" si="116"/>
        <v>#DIV/0!</v>
      </c>
      <c r="M142" s="65">
        <v>27230</v>
      </c>
      <c r="N142" s="130">
        <f t="shared" si="117"/>
        <v>2260090</v>
      </c>
      <c r="O142" s="1"/>
      <c r="P142" s="1"/>
      <c r="Q142" s="1"/>
      <c r="R142" s="1">
        <f t="shared" si="118"/>
        <v>0</v>
      </c>
    </row>
    <row r="143" spans="1:18" x14ac:dyDescent="0.25">
      <c r="A143" s="18">
        <v>46256</v>
      </c>
      <c r="B143" s="101" t="s">
        <v>44</v>
      </c>
      <c r="C143" s="19"/>
      <c r="D143" s="19"/>
      <c r="E143" s="20">
        <f t="shared" si="112"/>
        <v>0</v>
      </c>
      <c r="F143" s="19">
        <v>77</v>
      </c>
      <c r="G143" s="21" t="e">
        <f t="shared" si="113"/>
        <v>#DIV/0!</v>
      </c>
      <c r="H143" s="19"/>
      <c r="I143" s="14"/>
      <c r="J143" s="19">
        <f t="shared" si="114"/>
        <v>0</v>
      </c>
      <c r="K143" s="10"/>
      <c r="L143" s="22" t="e">
        <f t="shared" si="116"/>
        <v>#DIV/0!</v>
      </c>
      <c r="M143" s="23">
        <v>28540</v>
      </c>
      <c r="N143" s="130">
        <f t="shared" si="117"/>
        <v>2197580</v>
      </c>
      <c r="O143" s="1"/>
      <c r="P143" s="1"/>
      <c r="Q143" s="1"/>
      <c r="R143" s="1">
        <f t="shared" si="118"/>
        <v>0</v>
      </c>
    </row>
    <row r="144" spans="1:18" x14ac:dyDescent="0.25">
      <c r="A144" s="18">
        <v>46260</v>
      </c>
      <c r="B144" s="101" t="s">
        <v>44</v>
      </c>
      <c r="C144" s="19"/>
      <c r="D144" s="19"/>
      <c r="E144" s="20">
        <f t="shared" si="112"/>
        <v>0</v>
      </c>
      <c r="F144" s="19">
        <v>75</v>
      </c>
      <c r="G144" s="21" t="e">
        <f t="shared" si="113"/>
        <v>#DIV/0!</v>
      </c>
      <c r="H144" s="19"/>
      <c r="I144" s="14"/>
      <c r="J144" s="19">
        <f t="shared" si="114"/>
        <v>0</v>
      </c>
      <c r="K144" s="10"/>
      <c r="L144" s="22" t="e">
        <f t="shared" si="116"/>
        <v>#DIV/0!</v>
      </c>
      <c r="M144" s="23">
        <v>28540</v>
      </c>
      <c r="N144" s="130">
        <f t="shared" si="117"/>
        <v>2140500</v>
      </c>
      <c r="O144" s="1"/>
      <c r="P144" s="1"/>
      <c r="Q144" s="1"/>
      <c r="R144" s="1">
        <f t="shared" si="118"/>
        <v>0</v>
      </c>
    </row>
    <row r="145" spans="1:18" x14ac:dyDescent="0.25">
      <c r="A145" s="18">
        <v>46263</v>
      </c>
      <c r="B145" s="101" t="s">
        <v>44</v>
      </c>
      <c r="C145" s="19"/>
      <c r="D145" s="19"/>
      <c r="E145" s="20">
        <f t="shared" si="112"/>
        <v>0</v>
      </c>
      <c r="F145" s="19">
        <v>66</v>
      </c>
      <c r="G145" s="21" t="e">
        <f t="shared" si="113"/>
        <v>#DIV/0!</v>
      </c>
      <c r="H145" s="19"/>
      <c r="I145" s="14"/>
      <c r="J145" s="19">
        <f t="shared" si="114"/>
        <v>0</v>
      </c>
      <c r="K145" s="10"/>
      <c r="L145" s="22" t="e">
        <f t="shared" si="116"/>
        <v>#DIV/0!</v>
      </c>
      <c r="M145" s="23">
        <v>28080</v>
      </c>
      <c r="N145" s="130">
        <f t="shared" si="117"/>
        <v>1853280</v>
      </c>
      <c r="O145" s="1"/>
      <c r="P145" s="1"/>
      <c r="Q145" s="1"/>
      <c r="R145" s="1"/>
    </row>
    <row r="146" spans="1:18" x14ac:dyDescent="0.25">
      <c r="A146" s="18"/>
      <c r="B146" s="101" t="s">
        <v>44</v>
      </c>
      <c r="C146" s="19"/>
      <c r="D146" s="19"/>
      <c r="E146" s="20">
        <f t="shared" si="112"/>
        <v>0</v>
      </c>
      <c r="F146" s="19"/>
      <c r="G146" s="21" t="e">
        <f t="shared" si="113"/>
        <v>#DIV/0!</v>
      </c>
      <c r="H146" s="19"/>
      <c r="I146" s="14"/>
      <c r="J146" s="19">
        <f t="shared" si="114"/>
        <v>0</v>
      </c>
      <c r="K146" s="10"/>
      <c r="L146" s="22" t="e">
        <f t="shared" si="116"/>
        <v>#DIV/0!</v>
      </c>
      <c r="M146" s="23"/>
      <c r="N146" s="130">
        <f t="shared" si="117"/>
        <v>0</v>
      </c>
      <c r="O146" s="1"/>
      <c r="P146" s="1"/>
      <c r="Q146" s="1"/>
      <c r="R146" s="1"/>
    </row>
    <row r="147" spans="1:18" ht="16.5" thickBot="1" x14ac:dyDescent="0.3">
      <c r="A147" s="139"/>
      <c r="B147" s="140" t="s">
        <v>44</v>
      </c>
      <c r="C147" s="141"/>
      <c r="D147" s="141"/>
      <c r="E147" s="88">
        <f t="shared" si="112"/>
        <v>0</v>
      </c>
      <c r="F147" s="141"/>
      <c r="G147" s="70" t="e">
        <f t="shared" si="113"/>
        <v>#DIV/0!</v>
      </c>
      <c r="H147" s="141"/>
      <c r="I147" s="142"/>
      <c r="J147" s="141">
        <f t="shared" si="114"/>
        <v>0</v>
      </c>
      <c r="K147" s="143"/>
      <c r="L147" s="144" t="e">
        <f t="shared" si="116"/>
        <v>#DIV/0!</v>
      </c>
      <c r="M147" s="145"/>
      <c r="N147" s="136">
        <f t="shared" si="117"/>
        <v>0</v>
      </c>
      <c r="O147" s="1"/>
      <c r="P147" s="1"/>
      <c r="Q147" s="1"/>
      <c r="R147" s="1"/>
    </row>
    <row r="148" spans="1:18" ht="16.5" thickBot="1" x14ac:dyDescent="0.3">
      <c r="A148" s="77"/>
      <c r="B148" s="78"/>
      <c r="C148" s="77"/>
      <c r="D148" s="77" t="s">
        <v>17</v>
      </c>
      <c r="E148" s="77">
        <f>SUM(E137:E144)</f>
        <v>0</v>
      </c>
      <c r="F148" s="77"/>
      <c r="G148" s="79" t="e">
        <f>AVERAGE(G137:G144)</f>
        <v>#DIV/0!</v>
      </c>
      <c r="H148" s="77"/>
      <c r="I148" s="80"/>
      <c r="J148" s="77">
        <f t="shared" ref="J148:K148" si="119">SUM(J137:J144)</f>
        <v>0</v>
      </c>
      <c r="K148" s="77">
        <f t="shared" si="119"/>
        <v>435</v>
      </c>
      <c r="L148" s="79" t="e">
        <f>AVERAGE(L137:L144)</f>
        <v>#DIV/0!</v>
      </c>
      <c r="M148" s="78"/>
      <c r="N148" s="81">
        <f>SUM(N137:N147)</f>
        <v>20385230</v>
      </c>
      <c r="O148" s="1"/>
      <c r="P148" s="1"/>
      <c r="Q148" s="1"/>
      <c r="R148" s="1">
        <f>Q148</f>
        <v>0</v>
      </c>
    </row>
    <row r="149" spans="1:18" x14ac:dyDescent="0.25">
      <c r="A149" s="51">
        <v>46245</v>
      </c>
      <c r="B149" s="93" t="s">
        <v>36</v>
      </c>
      <c r="C149" s="93"/>
      <c r="D149" s="112"/>
      <c r="E149" s="82">
        <f t="shared" ref="E149:E159" si="120">D149-C149</f>
        <v>0</v>
      </c>
      <c r="F149" s="54">
        <v>64</v>
      </c>
      <c r="G149" s="122" t="e">
        <f t="shared" ref="G149:G159" si="121">(F149/E149)*100</f>
        <v>#DIV/0!</v>
      </c>
      <c r="H149" s="137"/>
      <c r="I149" s="138"/>
      <c r="J149" s="52">
        <f t="shared" ref="J149:J159" si="122">I149-H149</f>
        <v>0</v>
      </c>
      <c r="K149" s="146">
        <f t="shared" ref="K149:K153" si="123">F149</f>
        <v>64</v>
      </c>
      <c r="L149" s="123" t="e">
        <f t="shared" ref="L149:L159" si="124">(K149/J149)*100</f>
        <v>#DIV/0!</v>
      </c>
      <c r="M149" s="56">
        <v>27540</v>
      </c>
      <c r="N149" s="130">
        <f t="shared" ref="N149:N159" si="125">F149*M149</f>
        <v>1762560</v>
      </c>
      <c r="O149" s="1"/>
      <c r="P149" s="1"/>
      <c r="Q149" s="1"/>
      <c r="R149" s="1"/>
    </row>
    <row r="150" spans="1:18" x14ac:dyDescent="0.25">
      <c r="A150" s="62">
        <v>46251</v>
      </c>
      <c r="B150" s="101" t="s">
        <v>36</v>
      </c>
      <c r="C150" s="53"/>
      <c r="D150" s="19"/>
      <c r="E150" s="20">
        <f t="shared" si="120"/>
        <v>0</v>
      </c>
      <c r="F150" s="63">
        <v>81</v>
      </c>
      <c r="G150" s="21" t="e">
        <f t="shared" si="121"/>
        <v>#DIV/0!</v>
      </c>
      <c r="H150" s="71"/>
      <c r="I150" s="71"/>
      <c r="J150" s="53">
        <f t="shared" si="122"/>
        <v>0</v>
      </c>
      <c r="K150" s="64">
        <f t="shared" si="123"/>
        <v>81</v>
      </c>
      <c r="L150" s="60" t="e">
        <f t="shared" si="124"/>
        <v>#DIV/0!</v>
      </c>
      <c r="M150" s="65">
        <v>27230</v>
      </c>
      <c r="N150" s="130">
        <f t="shared" si="125"/>
        <v>2205630</v>
      </c>
      <c r="O150" s="1"/>
      <c r="P150" s="1"/>
      <c r="Q150" s="1"/>
      <c r="R150" s="1"/>
    </row>
    <row r="151" spans="1:18" x14ac:dyDescent="0.25">
      <c r="A151" s="62">
        <v>46256</v>
      </c>
      <c r="B151" s="101" t="s">
        <v>36</v>
      </c>
      <c r="C151" s="53"/>
      <c r="D151" s="53"/>
      <c r="E151" s="20">
        <f t="shared" si="120"/>
        <v>0</v>
      </c>
      <c r="F151" s="63">
        <v>71</v>
      </c>
      <c r="G151" s="21" t="e">
        <f t="shared" si="121"/>
        <v>#DIV/0!</v>
      </c>
      <c r="H151" s="53"/>
      <c r="I151" s="71"/>
      <c r="J151" s="53">
        <f t="shared" si="122"/>
        <v>0</v>
      </c>
      <c r="K151" s="64">
        <f t="shared" si="123"/>
        <v>71</v>
      </c>
      <c r="L151" s="60" t="e">
        <f t="shared" si="124"/>
        <v>#DIV/0!</v>
      </c>
      <c r="M151" s="65">
        <v>28540</v>
      </c>
      <c r="N151" s="130">
        <f t="shared" si="125"/>
        <v>2026340</v>
      </c>
      <c r="O151" s="1"/>
      <c r="P151" s="1"/>
      <c r="Q151" s="1"/>
      <c r="R151" s="1"/>
    </row>
    <row r="152" spans="1:18" x14ac:dyDescent="0.25">
      <c r="A152" s="62">
        <v>46261</v>
      </c>
      <c r="B152" s="101" t="s">
        <v>36</v>
      </c>
      <c r="C152" s="53"/>
      <c r="D152" s="53"/>
      <c r="E152" s="20">
        <f t="shared" si="120"/>
        <v>0</v>
      </c>
      <c r="F152" s="63">
        <v>77</v>
      </c>
      <c r="G152" s="21" t="e">
        <f t="shared" si="121"/>
        <v>#DIV/0!</v>
      </c>
      <c r="H152" s="53"/>
      <c r="I152" s="71"/>
      <c r="J152" s="53">
        <f t="shared" si="122"/>
        <v>0</v>
      </c>
      <c r="K152" s="64">
        <f t="shared" si="123"/>
        <v>77</v>
      </c>
      <c r="L152" s="60" t="e">
        <f t="shared" si="124"/>
        <v>#DIV/0!</v>
      </c>
      <c r="M152" s="65">
        <v>28080</v>
      </c>
      <c r="N152" s="130">
        <f t="shared" si="125"/>
        <v>2162160</v>
      </c>
      <c r="O152" s="1"/>
      <c r="P152" s="1"/>
      <c r="Q152" s="1"/>
      <c r="R152" s="1"/>
    </row>
    <row r="153" spans="1:18" x14ac:dyDescent="0.25">
      <c r="A153" s="62">
        <v>46265</v>
      </c>
      <c r="B153" s="101" t="s">
        <v>36</v>
      </c>
      <c r="C153" s="53"/>
      <c r="D153" s="53"/>
      <c r="E153" s="20">
        <f t="shared" si="120"/>
        <v>0</v>
      </c>
      <c r="F153" s="63">
        <v>65</v>
      </c>
      <c r="G153" s="21" t="e">
        <f t="shared" si="121"/>
        <v>#DIV/0!</v>
      </c>
      <c r="H153" s="53"/>
      <c r="I153" s="71"/>
      <c r="J153" s="53">
        <f t="shared" si="122"/>
        <v>0</v>
      </c>
      <c r="K153" s="64">
        <f t="shared" si="123"/>
        <v>65</v>
      </c>
      <c r="L153" s="60" t="e">
        <f t="shared" si="124"/>
        <v>#DIV/0!</v>
      </c>
      <c r="M153" s="65">
        <v>28080</v>
      </c>
      <c r="N153" s="130">
        <f t="shared" si="125"/>
        <v>1825200</v>
      </c>
      <c r="O153" s="1"/>
      <c r="P153" s="1"/>
      <c r="Q153" s="1"/>
      <c r="R153" s="1"/>
    </row>
    <row r="154" spans="1:18" x14ac:dyDescent="0.25">
      <c r="A154" s="62"/>
      <c r="B154" s="101" t="s">
        <v>36</v>
      </c>
      <c r="C154" s="53"/>
      <c r="D154" s="53"/>
      <c r="E154" s="20">
        <f t="shared" si="120"/>
        <v>0</v>
      </c>
      <c r="F154" s="63"/>
      <c r="G154" s="21" t="e">
        <f t="shared" si="121"/>
        <v>#DIV/0!</v>
      </c>
      <c r="H154" s="53"/>
      <c r="I154" s="71"/>
      <c r="J154" s="53">
        <f t="shared" si="122"/>
        <v>0</v>
      </c>
      <c r="K154" s="64"/>
      <c r="L154" s="60" t="e">
        <f t="shared" si="124"/>
        <v>#DIV/0!</v>
      </c>
      <c r="M154" s="65"/>
      <c r="N154" s="130">
        <f t="shared" si="125"/>
        <v>0</v>
      </c>
      <c r="O154" s="1"/>
      <c r="P154" s="1"/>
      <c r="Q154" s="1"/>
      <c r="R154" s="1"/>
    </row>
    <row r="155" spans="1:18" x14ac:dyDescent="0.25">
      <c r="A155" s="18"/>
      <c r="B155" s="101" t="s">
        <v>36</v>
      </c>
      <c r="C155" s="19"/>
      <c r="D155" s="19"/>
      <c r="E155" s="20">
        <f t="shared" si="120"/>
        <v>0</v>
      </c>
      <c r="F155" s="19"/>
      <c r="G155" s="21" t="e">
        <f t="shared" si="121"/>
        <v>#DIV/0!</v>
      </c>
      <c r="H155" s="19"/>
      <c r="I155" s="14"/>
      <c r="J155" s="19">
        <f t="shared" si="122"/>
        <v>0</v>
      </c>
      <c r="K155" s="10"/>
      <c r="L155" s="22" t="e">
        <f t="shared" si="124"/>
        <v>#DIV/0!</v>
      </c>
      <c r="M155" s="23"/>
      <c r="N155" s="130">
        <f t="shared" si="125"/>
        <v>0</v>
      </c>
      <c r="O155" s="1"/>
      <c r="P155" s="1"/>
      <c r="Q155" s="1"/>
      <c r="R155" s="1"/>
    </row>
    <row r="156" spans="1:18" x14ac:dyDescent="0.25">
      <c r="A156" s="18"/>
      <c r="B156" s="101" t="s">
        <v>36</v>
      </c>
      <c r="C156" s="19"/>
      <c r="D156" s="19"/>
      <c r="E156" s="20">
        <f t="shared" si="120"/>
        <v>0</v>
      </c>
      <c r="F156" s="19"/>
      <c r="G156" s="21" t="e">
        <f t="shared" si="121"/>
        <v>#DIV/0!</v>
      </c>
      <c r="H156" s="19"/>
      <c r="I156" s="14"/>
      <c r="J156" s="19">
        <f t="shared" si="122"/>
        <v>0</v>
      </c>
      <c r="K156" s="10"/>
      <c r="L156" s="22" t="e">
        <f t="shared" si="124"/>
        <v>#DIV/0!</v>
      </c>
      <c r="M156" s="23"/>
      <c r="N156" s="130">
        <f t="shared" si="125"/>
        <v>0</v>
      </c>
      <c r="O156" s="1"/>
      <c r="P156" s="1"/>
      <c r="Q156" s="1"/>
      <c r="R156" s="1"/>
    </row>
    <row r="157" spans="1:18" x14ac:dyDescent="0.25">
      <c r="A157" s="18"/>
      <c r="B157" s="101" t="s">
        <v>36</v>
      </c>
      <c r="C157" s="19"/>
      <c r="D157" s="19"/>
      <c r="E157" s="20">
        <f t="shared" si="120"/>
        <v>0</v>
      </c>
      <c r="F157" s="19"/>
      <c r="G157" s="21" t="e">
        <f t="shared" si="121"/>
        <v>#DIV/0!</v>
      </c>
      <c r="H157" s="19"/>
      <c r="I157" s="14"/>
      <c r="J157" s="19">
        <f t="shared" si="122"/>
        <v>0</v>
      </c>
      <c r="K157" s="10"/>
      <c r="L157" s="22" t="e">
        <f t="shared" si="124"/>
        <v>#DIV/0!</v>
      </c>
      <c r="M157" s="23"/>
      <c r="N157" s="130">
        <f t="shared" si="125"/>
        <v>0</v>
      </c>
      <c r="O157" s="1"/>
      <c r="P157" s="1"/>
      <c r="Q157" s="1"/>
      <c r="R157" s="1"/>
    </row>
    <row r="158" spans="1:18" x14ac:dyDescent="0.25">
      <c r="A158" s="18"/>
      <c r="B158" s="101" t="s">
        <v>36</v>
      </c>
      <c r="C158" s="19"/>
      <c r="D158" s="19"/>
      <c r="E158" s="20">
        <f t="shared" si="120"/>
        <v>0</v>
      </c>
      <c r="F158" s="19"/>
      <c r="G158" s="21" t="e">
        <f t="shared" si="121"/>
        <v>#DIV/0!</v>
      </c>
      <c r="H158" s="19"/>
      <c r="I158" s="14"/>
      <c r="J158" s="19">
        <f t="shared" si="122"/>
        <v>0</v>
      </c>
      <c r="K158" s="10"/>
      <c r="L158" s="22" t="e">
        <f t="shared" si="124"/>
        <v>#DIV/0!</v>
      </c>
      <c r="M158" s="23"/>
      <c r="N158" s="130">
        <f t="shared" si="125"/>
        <v>0</v>
      </c>
      <c r="O158" s="1"/>
      <c r="P158" s="1"/>
      <c r="Q158" s="1"/>
      <c r="R158" s="1"/>
    </row>
    <row r="159" spans="1:18" ht="16.5" thickBot="1" x14ac:dyDescent="0.3">
      <c r="A159" s="139"/>
      <c r="B159" s="140" t="s">
        <v>36</v>
      </c>
      <c r="C159" s="141"/>
      <c r="D159" s="141"/>
      <c r="E159" s="88">
        <f t="shared" si="120"/>
        <v>0</v>
      </c>
      <c r="F159" s="141"/>
      <c r="G159" s="70" t="e">
        <f t="shared" si="121"/>
        <v>#DIV/0!</v>
      </c>
      <c r="H159" s="141"/>
      <c r="I159" s="142"/>
      <c r="J159" s="141">
        <f t="shared" si="122"/>
        <v>0</v>
      </c>
      <c r="K159" s="143"/>
      <c r="L159" s="144" t="e">
        <f t="shared" si="124"/>
        <v>#DIV/0!</v>
      </c>
      <c r="M159" s="145"/>
      <c r="N159" s="136">
        <f t="shared" si="125"/>
        <v>0</v>
      </c>
      <c r="O159" s="1"/>
      <c r="P159" s="1"/>
      <c r="Q159" s="1"/>
      <c r="R159" s="1"/>
    </row>
    <row r="160" spans="1:18" ht="16.5" thickBot="1" x14ac:dyDescent="0.3">
      <c r="A160" s="77"/>
      <c r="B160" s="78"/>
      <c r="C160" s="77"/>
      <c r="D160" s="77" t="s">
        <v>17</v>
      </c>
      <c r="E160" s="77">
        <f>SUM(E149:E156)</f>
        <v>0</v>
      </c>
      <c r="F160" s="77"/>
      <c r="G160" s="79" t="e">
        <f>AVERAGE(G149:G156)</f>
        <v>#DIV/0!</v>
      </c>
      <c r="H160" s="77"/>
      <c r="I160" s="80"/>
      <c r="J160" s="77">
        <f t="shared" ref="J160:K160" si="126">SUM(J149:J156)</f>
        <v>0</v>
      </c>
      <c r="K160" s="77">
        <f t="shared" si="126"/>
        <v>358</v>
      </c>
      <c r="L160" s="79" t="e">
        <f>AVERAGE(L149:L156)</f>
        <v>#DIV/0!</v>
      </c>
      <c r="M160" s="78"/>
      <c r="N160" s="81">
        <f>SUM(N149:N159)</f>
        <v>9981890</v>
      </c>
      <c r="O160" s="1"/>
      <c r="P160" s="1"/>
      <c r="Q160" s="1"/>
      <c r="R160" s="1"/>
    </row>
    <row r="161" spans="1:18" ht="16.5" thickBot="1" x14ac:dyDescent="0.3">
      <c r="A161" s="51">
        <v>46237</v>
      </c>
      <c r="B161" s="93" t="s">
        <v>25</v>
      </c>
      <c r="C161" s="93"/>
      <c r="D161" s="112"/>
      <c r="E161" s="82">
        <f t="shared" ref="E161:E168" si="127">D161-C161</f>
        <v>0</v>
      </c>
      <c r="F161" s="54">
        <v>70</v>
      </c>
      <c r="G161" s="122" t="e">
        <f t="shared" ref="G161:G168" si="128">(F161/E161)*100</f>
        <v>#DIV/0!</v>
      </c>
      <c r="H161" s="137"/>
      <c r="I161" s="138"/>
      <c r="J161" s="52">
        <f t="shared" ref="J161:J168" si="129">I161-H161</f>
        <v>0</v>
      </c>
      <c r="K161" s="86">
        <f t="shared" ref="K161:K165" si="130">F161</f>
        <v>70</v>
      </c>
      <c r="L161" s="123" t="e">
        <f t="shared" ref="L161:L168" si="131">(K161/J161)*100</f>
        <v>#DIV/0!</v>
      </c>
      <c r="M161" s="56">
        <v>27620</v>
      </c>
      <c r="N161" s="130">
        <f t="shared" ref="N161:N166" si="132">M161*K161</f>
        <v>1933400</v>
      </c>
      <c r="O161" s="1"/>
      <c r="P161" s="1"/>
      <c r="Q161" s="1"/>
      <c r="R161" s="1">
        <f t="shared" ref="R161:R187" si="133">Q161</f>
        <v>0</v>
      </c>
    </row>
    <row r="162" spans="1:18" ht="16.5" thickBot="1" x14ac:dyDescent="0.3">
      <c r="A162" s="62">
        <v>46246</v>
      </c>
      <c r="B162" s="101" t="s">
        <v>25</v>
      </c>
      <c r="C162" s="53"/>
      <c r="D162" s="19"/>
      <c r="E162" s="20">
        <f t="shared" si="127"/>
        <v>0</v>
      </c>
      <c r="F162" s="63">
        <v>60</v>
      </c>
      <c r="G162" s="21" t="e">
        <f t="shared" si="128"/>
        <v>#DIV/0!</v>
      </c>
      <c r="H162" s="71"/>
      <c r="I162" s="71"/>
      <c r="J162" s="53">
        <f t="shared" si="129"/>
        <v>0</v>
      </c>
      <c r="K162" s="86">
        <f t="shared" si="130"/>
        <v>60</v>
      </c>
      <c r="L162" s="55" t="e">
        <f t="shared" si="131"/>
        <v>#DIV/0!</v>
      </c>
      <c r="M162" s="65">
        <v>27540</v>
      </c>
      <c r="N162" s="61">
        <f t="shared" si="132"/>
        <v>1652400</v>
      </c>
      <c r="O162" s="1"/>
      <c r="P162" s="1"/>
      <c r="Q162" s="1"/>
      <c r="R162" s="1">
        <f t="shared" si="133"/>
        <v>0</v>
      </c>
    </row>
    <row r="163" spans="1:18" ht="16.5" thickBot="1" x14ac:dyDescent="0.3">
      <c r="A163" s="62">
        <v>46248</v>
      </c>
      <c r="B163" s="101" t="s">
        <v>25</v>
      </c>
      <c r="C163" s="53"/>
      <c r="D163" s="53"/>
      <c r="E163" s="20">
        <f t="shared" si="127"/>
        <v>0</v>
      </c>
      <c r="F163" s="63">
        <v>70</v>
      </c>
      <c r="G163" s="21" t="e">
        <f t="shared" si="128"/>
        <v>#DIV/0!</v>
      </c>
      <c r="H163" s="53"/>
      <c r="I163" s="71"/>
      <c r="J163" s="53">
        <f t="shared" si="129"/>
        <v>0</v>
      </c>
      <c r="K163" s="86">
        <f t="shared" si="130"/>
        <v>70</v>
      </c>
      <c r="L163" s="60" t="e">
        <f t="shared" si="131"/>
        <v>#DIV/0!</v>
      </c>
      <c r="M163" s="65">
        <v>27230</v>
      </c>
      <c r="N163" s="61">
        <f t="shared" si="132"/>
        <v>1906100</v>
      </c>
      <c r="O163" s="1"/>
      <c r="P163" s="1"/>
      <c r="Q163" s="1"/>
      <c r="R163" s="1">
        <f t="shared" si="133"/>
        <v>0</v>
      </c>
    </row>
    <row r="164" spans="1:18" ht="16.5" thickBot="1" x14ac:dyDescent="0.3">
      <c r="A164" s="62">
        <v>46251</v>
      </c>
      <c r="B164" s="101" t="s">
        <v>25</v>
      </c>
      <c r="C164" s="53"/>
      <c r="D164" s="53"/>
      <c r="E164" s="20">
        <f t="shared" si="127"/>
        <v>0</v>
      </c>
      <c r="F164" s="63">
        <v>70</v>
      </c>
      <c r="G164" s="21" t="e">
        <f t="shared" si="128"/>
        <v>#DIV/0!</v>
      </c>
      <c r="H164" s="53"/>
      <c r="I164" s="71"/>
      <c r="J164" s="53">
        <f t="shared" si="129"/>
        <v>0</v>
      </c>
      <c r="K164" s="86">
        <f t="shared" si="130"/>
        <v>70</v>
      </c>
      <c r="L164" s="60" t="e">
        <f t="shared" si="131"/>
        <v>#DIV/0!</v>
      </c>
      <c r="M164" s="65">
        <v>27230</v>
      </c>
      <c r="N164" s="61">
        <f t="shared" si="132"/>
        <v>1906100</v>
      </c>
      <c r="O164" s="1"/>
      <c r="P164" s="1"/>
      <c r="Q164" s="1"/>
      <c r="R164" s="1">
        <f t="shared" si="133"/>
        <v>0</v>
      </c>
    </row>
    <row r="165" spans="1:18" x14ac:dyDescent="0.25">
      <c r="A165" s="62">
        <v>46260</v>
      </c>
      <c r="B165" s="101" t="s">
        <v>25</v>
      </c>
      <c r="C165" s="53"/>
      <c r="D165" s="53"/>
      <c r="E165" s="20">
        <f t="shared" si="127"/>
        <v>0</v>
      </c>
      <c r="F165" s="63">
        <v>70</v>
      </c>
      <c r="G165" s="21" t="e">
        <f t="shared" si="128"/>
        <v>#DIV/0!</v>
      </c>
      <c r="H165" s="53"/>
      <c r="I165" s="71"/>
      <c r="J165" s="53">
        <f t="shared" si="129"/>
        <v>0</v>
      </c>
      <c r="K165" s="86">
        <f t="shared" si="130"/>
        <v>70</v>
      </c>
      <c r="L165" s="60" t="e">
        <f t="shared" si="131"/>
        <v>#DIV/0!</v>
      </c>
      <c r="M165" s="65">
        <v>28540</v>
      </c>
      <c r="N165" s="61">
        <f t="shared" si="132"/>
        <v>1997800</v>
      </c>
      <c r="O165" s="1"/>
      <c r="P165" s="1"/>
      <c r="Q165" s="1"/>
      <c r="R165" s="1">
        <f t="shared" si="133"/>
        <v>0</v>
      </c>
    </row>
    <row r="166" spans="1:18" x14ac:dyDescent="0.25">
      <c r="A166" s="62"/>
      <c r="B166" s="101" t="s">
        <v>25</v>
      </c>
      <c r="C166" s="53"/>
      <c r="D166" s="53"/>
      <c r="E166" s="20">
        <f t="shared" si="127"/>
        <v>0</v>
      </c>
      <c r="F166" s="63"/>
      <c r="G166" s="21" t="e">
        <f t="shared" si="128"/>
        <v>#DIV/0!</v>
      </c>
      <c r="H166" s="53"/>
      <c r="I166" s="71"/>
      <c r="J166" s="53">
        <f t="shared" si="129"/>
        <v>0</v>
      </c>
      <c r="K166" s="64"/>
      <c r="L166" s="60" t="e">
        <f t="shared" si="131"/>
        <v>#DIV/0!</v>
      </c>
      <c r="M166" s="65"/>
      <c r="N166" s="61">
        <f t="shared" si="132"/>
        <v>0</v>
      </c>
      <c r="O166" s="1"/>
      <c r="P166" s="1"/>
      <c r="Q166" s="1"/>
      <c r="R166" s="1">
        <f t="shared" si="133"/>
        <v>0</v>
      </c>
    </row>
    <row r="167" spans="1:18" x14ac:dyDescent="0.25">
      <c r="A167" s="62"/>
      <c r="B167" s="101" t="s">
        <v>25</v>
      </c>
      <c r="C167" s="53"/>
      <c r="D167" s="53"/>
      <c r="E167" s="20">
        <f t="shared" si="127"/>
        <v>0</v>
      </c>
      <c r="F167" s="63"/>
      <c r="G167" s="21" t="e">
        <f t="shared" si="128"/>
        <v>#DIV/0!</v>
      </c>
      <c r="H167" s="53"/>
      <c r="I167" s="71"/>
      <c r="J167" s="53">
        <f t="shared" si="129"/>
        <v>0</v>
      </c>
      <c r="K167" s="64">
        <f t="shared" ref="K167:K168" si="134">F167</f>
        <v>0</v>
      </c>
      <c r="L167" s="60" t="e">
        <f t="shared" si="131"/>
        <v>#DIV/0!</v>
      </c>
      <c r="M167" s="65"/>
      <c r="N167" s="61">
        <f>F167*M167</f>
        <v>0</v>
      </c>
      <c r="O167" s="1"/>
      <c r="P167" s="1"/>
      <c r="Q167" s="1"/>
      <c r="R167" s="1">
        <f t="shared" si="133"/>
        <v>0</v>
      </c>
    </row>
    <row r="168" spans="1:18" ht="16.5" thickBot="1" x14ac:dyDescent="0.3">
      <c r="A168" s="99"/>
      <c r="B168" s="140" t="s">
        <v>25</v>
      </c>
      <c r="C168" s="73"/>
      <c r="D168" s="73"/>
      <c r="E168" s="88">
        <f t="shared" si="127"/>
        <v>0</v>
      </c>
      <c r="F168" s="75"/>
      <c r="G168" s="70" t="e">
        <f t="shared" si="128"/>
        <v>#DIV/0!</v>
      </c>
      <c r="H168" s="73"/>
      <c r="I168" s="83"/>
      <c r="J168" s="73">
        <f t="shared" si="129"/>
        <v>0</v>
      </c>
      <c r="K168" s="147">
        <f t="shared" si="134"/>
        <v>0</v>
      </c>
      <c r="L168" s="148" t="e">
        <f t="shared" si="131"/>
        <v>#DIV/0!</v>
      </c>
      <c r="M168" s="95"/>
      <c r="N168" s="76">
        <f>M168*K168</f>
        <v>0</v>
      </c>
      <c r="O168" s="1"/>
      <c r="P168" s="1"/>
      <c r="Q168" s="1"/>
      <c r="R168" s="1">
        <f t="shared" si="133"/>
        <v>0</v>
      </c>
    </row>
    <row r="169" spans="1:18" ht="16.5" thickBot="1" x14ac:dyDescent="0.3">
      <c r="A169" s="77"/>
      <c r="B169" s="78"/>
      <c r="C169" s="77"/>
      <c r="D169" s="77" t="s">
        <v>17</v>
      </c>
      <c r="E169" s="77">
        <f>SUM(E161:E168)</f>
        <v>0</v>
      </c>
      <c r="F169" s="77"/>
      <c r="G169" s="79" t="e">
        <f>AVERAGE(G161:G168)</f>
        <v>#DIV/0!</v>
      </c>
      <c r="H169" s="77"/>
      <c r="I169" s="80"/>
      <c r="J169" s="77">
        <f t="shared" ref="J169:K169" si="135">SUM(J161:J168)</f>
        <v>0</v>
      </c>
      <c r="K169" s="77">
        <f t="shared" si="135"/>
        <v>340</v>
      </c>
      <c r="L169" s="79" t="e">
        <f>AVERAGE(L161:L168)</f>
        <v>#DIV/0!</v>
      </c>
      <c r="M169" s="78"/>
      <c r="N169" s="81">
        <f>SUM(N161:N168)</f>
        <v>9395800</v>
      </c>
      <c r="O169" s="1"/>
      <c r="P169" s="1"/>
      <c r="Q169" s="1"/>
      <c r="R169" s="1">
        <f t="shared" si="133"/>
        <v>0</v>
      </c>
    </row>
    <row r="170" spans="1:18" ht="16.5" thickBot="1" x14ac:dyDescent="0.3">
      <c r="A170" s="96">
        <v>46237</v>
      </c>
      <c r="B170" s="93" t="s">
        <v>45</v>
      </c>
      <c r="C170" s="93"/>
      <c r="D170" s="112"/>
      <c r="E170" s="82">
        <f t="shared" ref="E170:E177" si="136">D170-C170</f>
        <v>0</v>
      </c>
      <c r="F170" s="54">
        <v>60</v>
      </c>
      <c r="G170" s="122" t="e">
        <f t="shared" ref="G170:G177" si="137">(F170/E170)*100</f>
        <v>#DIV/0!</v>
      </c>
      <c r="H170" s="137"/>
      <c r="I170" s="138"/>
      <c r="J170" s="52">
        <f t="shared" ref="J170:J177" si="138">I170-H170</f>
        <v>0</v>
      </c>
      <c r="K170" s="146">
        <f t="shared" ref="K170:K172" si="139">F170</f>
        <v>60</v>
      </c>
      <c r="L170" s="123" t="e">
        <f t="shared" ref="L170:L177" si="140">(K170/J170)*100</f>
        <v>#DIV/0!</v>
      </c>
      <c r="M170" s="56">
        <v>27620</v>
      </c>
      <c r="N170" s="130">
        <f t="shared" ref="N170:N176" si="141">F170*M170</f>
        <v>1657200</v>
      </c>
      <c r="O170" s="1"/>
      <c r="P170" s="1"/>
      <c r="Q170" s="1"/>
      <c r="R170" s="1">
        <f t="shared" si="133"/>
        <v>0</v>
      </c>
    </row>
    <row r="171" spans="1:18" x14ac:dyDescent="0.25">
      <c r="A171" s="62">
        <v>46241</v>
      </c>
      <c r="B171" s="53" t="s">
        <v>45</v>
      </c>
      <c r="C171" s="53"/>
      <c r="D171" s="19"/>
      <c r="E171" s="20">
        <f t="shared" si="136"/>
        <v>0</v>
      </c>
      <c r="F171" s="63">
        <v>60</v>
      </c>
      <c r="G171" s="21" t="e">
        <f t="shared" si="137"/>
        <v>#DIV/0!</v>
      </c>
      <c r="H171" s="71"/>
      <c r="I171" s="71"/>
      <c r="J171" s="53">
        <f t="shared" si="138"/>
        <v>0</v>
      </c>
      <c r="K171" s="64">
        <f t="shared" si="139"/>
        <v>60</v>
      </c>
      <c r="L171" s="60" t="e">
        <f t="shared" si="140"/>
        <v>#DIV/0!</v>
      </c>
      <c r="M171" s="56">
        <v>27540</v>
      </c>
      <c r="N171" s="61">
        <f t="shared" si="141"/>
        <v>1652400</v>
      </c>
      <c r="O171" s="1"/>
      <c r="P171" s="1"/>
      <c r="Q171" s="1"/>
      <c r="R171" s="1">
        <f t="shared" si="133"/>
        <v>0</v>
      </c>
    </row>
    <row r="172" spans="1:18" x14ac:dyDescent="0.25">
      <c r="A172" s="62">
        <v>46245</v>
      </c>
      <c r="B172" s="53" t="s">
        <v>45</v>
      </c>
      <c r="C172" s="53"/>
      <c r="D172" s="53"/>
      <c r="E172" s="20">
        <f t="shared" si="136"/>
        <v>0</v>
      </c>
      <c r="F172" s="63">
        <v>60</v>
      </c>
      <c r="G172" s="21" t="e">
        <f t="shared" si="137"/>
        <v>#DIV/0!</v>
      </c>
      <c r="H172" s="53"/>
      <c r="I172" s="71"/>
      <c r="J172" s="53">
        <f t="shared" si="138"/>
        <v>0</v>
      </c>
      <c r="K172" s="64">
        <f t="shared" si="139"/>
        <v>60</v>
      </c>
      <c r="L172" s="60" t="e">
        <f t="shared" si="140"/>
        <v>#DIV/0!</v>
      </c>
      <c r="M172" s="65">
        <v>27540</v>
      </c>
      <c r="N172" s="61">
        <f t="shared" si="141"/>
        <v>1652400</v>
      </c>
      <c r="O172" s="1"/>
      <c r="P172" s="1"/>
      <c r="Q172" s="1"/>
      <c r="R172" s="1">
        <f t="shared" si="133"/>
        <v>0</v>
      </c>
    </row>
    <row r="173" spans="1:18" x14ac:dyDescent="0.25">
      <c r="A173" s="62">
        <v>46248</v>
      </c>
      <c r="B173" s="53" t="s">
        <v>45</v>
      </c>
      <c r="C173" s="53"/>
      <c r="D173" s="53"/>
      <c r="E173" s="20">
        <f t="shared" si="136"/>
        <v>0</v>
      </c>
      <c r="F173" s="63">
        <v>60</v>
      </c>
      <c r="G173" s="21" t="e">
        <f t="shared" si="137"/>
        <v>#DIV/0!</v>
      </c>
      <c r="H173" s="53"/>
      <c r="I173" s="71"/>
      <c r="J173" s="53">
        <f t="shared" si="138"/>
        <v>0</v>
      </c>
      <c r="K173" s="64"/>
      <c r="L173" s="60" t="e">
        <f t="shared" si="140"/>
        <v>#DIV/0!</v>
      </c>
      <c r="M173" s="65">
        <v>27230</v>
      </c>
      <c r="N173" s="61">
        <f t="shared" si="141"/>
        <v>1633800</v>
      </c>
      <c r="O173" s="1"/>
      <c r="P173" s="1"/>
      <c r="Q173" s="1"/>
      <c r="R173" s="1">
        <f t="shared" si="133"/>
        <v>0</v>
      </c>
    </row>
    <row r="174" spans="1:18" x14ac:dyDescent="0.25">
      <c r="A174" s="62">
        <v>46252</v>
      </c>
      <c r="B174" s="53" t="s">
        <v>45</v>
      </c>
      <c r="C174" s="53"/>
      <c r="D174" s="53"/>
      <c r="E174" s="20">
        <f t="shared" si="136"/>
        <v>0</v>
      </c>
      <c r="F174" s="63">
        <v>60</v>
      </c>
      <c r="G174" s="21" t="e">
        <f t="shared" si="137"/>
        <v>#DIV/0!</v>
      </c>
      <c r="H174" s="53"/>
      <c r="I174" s="71"/>
      <c r="J174" s="53">
        <f t="shared" si="138"/>
        <v>0</v>
      </c>
      <c r="K174" s="64"/>
      <c r="L174" s="60" t="e">
        <f t="shared" si="140"/>
        <v>#DIV/0!</v>
      </c>
      <c r="M174" s="65">
        <v>27230</v>
      </c>
      <c r="N174" s="61">
        <f t="shared" si="141"/>
        <v>1633800</v>
      </c>
      <c r="O174" s="1"/>
      <c r="P174" s="1"/>
      <c r="Q174" s="1"/>
      <c r="R174" s="1">
        <f t="shared" si="133"/>
        <v>0</v>
      </c>
    </row>
    <row r="175" spans="1:18" x14ac:dyDescent="0.25">
      <c r="A175" s="62">
        <v>46255</v>
      </c>
      <c r="B175" s="53" t="s">
        <v>45</v>
      </c>
      <c r="C175" s="53"/>
      <c r="D175" s="53"/>
      <c r="E175" s="20">
        <f t="shared" si="136"/>
        <v>0</v>
      </c>
      <c r="F175" s="63">
        <v>60</v>
      </c>
      <c r="G175" s="21" t="e">
        <f t="shared" si="137"/>
        <v>#DIV/0!</v>
      </c>
      <c r="H175" s="53"/>
      <c r="I175" s="71"/>
      <c r="J175" s="53">
        <f t="shared" si="138"/>
        <v>0</v>
      </c>
      <c r="K175" s="64">
        <f t="shared" ref="K175:K177" si="142">F175</f>
        <v>60</v>
      </c>
      <c r="L175" s="60" t="e">
        <f t="shared" si="140"/>
        <v>#DIV/0!</v>
      </c>
      <c r="M175" s="65">
        <v>28540</v>
      </c>
      <c r="N175" s="61">
        <f t="shared" si="141"/>
        <v>1712400</v>
      </c>
      <c r="O175" s="1"/>
      <c r="P175" s="1"/>
      <c r="Q175" s="1"/>
      <c r="R175" s="1">
        <f t="shared" si="133"/>
        <v>0</v>
      </c>
    </row>
    <row r="176" spans="1:18" x14ac:dyDescent="0.25">
      <c r="A176" s="62">
        <v>46262</v>
      </c>
      <c r="B176" s="53" t="s">
        <v>45</v>
      </c>
      <c r="C176" s="53"/>
      <c r="D176" s="53"/>
      <c r="E176" s="20">
        <f t="shared" si="136"/>
        <v>0</v>
      </c>
      <c r="F176" s="63">
        <v>60</v>
      </c>
      <c r="G176" s="21" t="e">
        <f t="shared" si="137"/>
        <v>#DIV/0!</v>
      </c>
      <c r="H176" s="53"/>
      <c r="I176" s="71"/>
      <c r="J176" s="53">
        <f t="shared" si="138"/>
        <v>0</v>
      </c>
      <c r="K176" s="64">
        <f t="shared" si="142"/>
        <v>60</v>
      </c>
      <c r="L176" s="60" t="e">
        <f t="shared" si="140"/>
        <v>#DIV/0!</v>
      </c>
      <c r="M176" s="65">
        <v>28080</v>
      </c>
      <c r="N176" s="61">
        <f t="shared" si="141"/>
        <v>1684800</v>
      </c>
      <c r="O176" s="1"/>
      <c r="P176" s="1"/>
      <c r="Q176" s="1"/>
      <c r="R176" s="1">
        <f t="shared" si="133"/>
        <v>0</v>
      </c>
    </row>
    <row r="177" spans="1:18" ht="16.5" thickBot="1" x14ac:dyDescent="0.3">
      <c r="A177" s="99"/>
      <c r="B177" s="53" t="s">
        <v>45</v>
      </c>
      <c r="C177" s="73"/>
      <c r="D177" s="73"/>
      <c r="E177" s="88">
        <f t="shared" si="136"/>
        <v>0</v>
      </c>
      <c r="F177" s="63"/>
      <c r="G177" s="70" t="e">
        <f t="shared" si="137"/>
        <v>#DIV/0!</v>
      </c>
      <c r="H177" s="73"/>
      <c r="I177" s="83"/>
      <c r="J177" s="73">
        <f t="shared" si="138"/>
        <v>0</v>
      </c>
      <c r="K177" s="64">
        <f t="shared" si="142"/>
        <v>0</v>
      </c>
      <c r="L177" s="74" t="e">
        <f t="shared" si="140"/>
        <v>#DIV/0!</v>
      </c>
      <c r="M177" s="65"/>
      <c r="N177" s="61">
        <f>M177*K177</f>
        <v>0</v>
      </c>
      <c r="O177" s="1"/>
      <c r="P177" s="1"/>
      <c r="Q177" s="1"/>
      <c r="R177" s="1">
        <f t="shared" si="133"/>
        <v>0</v>
      </c>
    </row>
    <row r="178" spans="1:18" ht="16.5" thickBot="1" x14ac:dyDescent="0.3">
      <c r="A178" s="77"/>
      <c r="B178" s="78"/>
      <c r="C178" s="77"/>
      <c r="D178" s="77" t="s">
        <v>17</v>
      </c>
      <c r="E178" s="77">
        <f>SUM(E170:E177)</f>
        <v>0</v>
      </c>
      <c r="F178" s="54"/>
      <c r="G178" s="79" t="e">
        <f>AVERAGE(G170:G177)</f>
        <v>#DIV/0!</v>
      </c>
      <c r="H178" s="77"/>
      <c r="I178" s="80"/>
      <c r="J178" s="77">
        <f t="shared" ref="J178:K178" si="143">SUM(J170:J177)</f>
        <v>0</v>
      </c>
      <c r="K178" s="77">
        <f t="shared" si="143"/>
        <v>300</v>
      </c>
      <c r="L178" s="79" t="e">
        <f>AVERAGE(L170:L177)</f>
        <v>#DIV/0!</v>
      </c>
      <c r="M178" s="56"/>
      <c r="N178" s="149">
        <f>SUM(N170:N177)</f>
        <v>11626800</v>
      </c>
      <c r="O178" s="1"/>
      <c r="P178" s="1"/>
      <c r="Q178" s="1"/>
      <c r="R178" s="1">
        <f t="shared" si="133"/>
        <v>0</v>
      </c>
    </row>
    <row r="179" spans="1:18" ht="16.5" thickBot="1" x14ac:dyDescent="0.3">
      <c r="A179" s="51">
        <v>46241</v>
      </c>
      <c r="B179" s="101" t="s">
        <v>27</v>
      </c>
      <c r="C179" s="93"/>
      <c r="D179" s="19"/>
      <c r="E179" s="82">
        <f t="shared" ref="E179:E186" si="144">D179-C179</f>
        <v>0</v>
      </c>
      <c r="F179" s="54">
        <v>75</v>
      </c>
      <c r="G179" s="21" t="e">
        <f t="shared" ref="G179:G186" si="145">(F179/E179)*100</f>
        <v>#DIV/0!</v>
      </c>
      <c r="H179" s="137"/>
      <c r="I179" s="138"/>
      <c r="J179" s="52">
        <f t="shared" ref="J179:J186" si="146">I179-H179</f>
        <v>0</v>
      </c>
      <c r="K179" s="64">
        <f t="shared" ref="K179:K186" si="147">F179</f>
        <v>75</v>
      </c>
      <c r="L179" s="55" t="e">
        <f t="shared" ref="L179:L186" si="148">(K179/J179)*100</f>
        <v>#DIV/0!</v>
      </c>
      <c r="M179" s="56">
        <v>27540</v>
      </c>
      <c r="N179" s="61">
        <f t="shared" ref="N179:N185" si="149">F179*M179</f>
        <v>2065500</v>
      </c>
      <c r="O179" s="1"/>
      <c r="P179" s="1"/>
      <c r="Q179" s="1"/>
      <c r="R179" s="1">
        <f t="shared" si="133"/>
        <v>0</v>
      </c>
    </row>
    <row r="180" spans="1:18" x14ac:dyDescent="0.25">
      <c r="A180" s="51">
        <v>46247</v>
      </c>
      <c r="B180" s="53" t="s">
        <v>27</v>
      </c>
      <c r="C180" s="53"/>
      <c r="D180" s="19"/>
      <c r="E180" s="20">
        <f t="shared" si="144"/>
        <v>0</v>
      </c>
      <c r="F180" s="63">
        <v>80</v>
      </c>
      <c r="G180" s="21" t="e">
        <f t="shared" si="145"/>
        <v>#DIV/0!</v>
      </c>
      <c r="H180" s="71"/>
      <c r="I180" s="71"/>
      <c r="J180" s="53">
        <f t="shared" si="146"/>
        <v>0</v>
      </c>
      <c r="K180" s="64">
        <f t="shared" si="147"/>
        <v>80</v>
      </c>
      <c r="L180" s="60" t="e">
        <f t="shared" si="148"/>
        <v>#DIV/0!</v>
      </c>
      <c r="M180" s="65">
        <v>27540</v>
      </c>
      <c r="N180" s="61">
        <f t="shared" si="149"/>
        <v>2203200</v>
      </c>
      <c r="O180" s="1"/>
      <c r="P180" s="1"/>
      <c r="Q180" s="1"/>
      <c r="R180" s="1">
        <f t="shared" si="133"/>
        <v>0</v>
      </c>
    </row>
    <row r="181" spans="1:18" x14ac:dyDescent="0.25">
      <c r="A181" s="62">
        <v>46253</v>
      </c>
      <c r="B181" s="53" t="s">
        <v>27</v>
      </c>
      <c r="C181" s="53"/>
      <c r="D181" s="53"/>
      <c r="E181" s="20">
        <f t="shared" si="144"/>
        <v>0</v>
      </c>
      <c r="F181" s="63">
        <v>71</v>
      </c>
      <c r="G181" s="21" t="e">
        <f t="shared" si="145"/>
        <v>#DIV/0!</v>
      </c>
      <c r="H181" s="53"/>
      <c r="I181" s="71"/>
      <c r="J181" s="53">
        <f t="shared" si="146"/>
        <v>0</v>
      </c>
      <c r="K181" s="64">
        <f t="shared" si="147"/>
        <v>71</v>
      </c>
      <c r="L181" s="60" t="e">
        <f t="shared" si="148"/>
        <v>#DIV/0!</v>
      </c>
      <c r="M181" s="65">
        <v>27230</v>
      </c>
      <c r="N181" s="61">
        <f t="shared" si="149"/>
        <v>1933330</v>
      </c>
      <c r="O181" s="1"/>
      <c r="P181" s="1"/>
      <c r="Q181" s="1"/>
      <c r="R181" s="1">
        <f t="shared" si="133"/>
        <v>0</v>
      </c>
    </row>
    <row r="182" spans="1:18" x14ac:dyDescent="0.25">
      <c r="A182" s="62">
        <v>46259</v>
      </c>
      <c r="B182" s="53" t="s">
        <v>27</v>
      </c>
      <c r="C182" s="53"/>
      <c r="D182" s="53"/>
      <c r="E182" s="20">
        <f t="shared" si="144"/>
        <v>0</v>
      </c>
      <c r="F182" s="63">
        <v>83</v>
      </c>
      <c r="G182" s="21" t="e">
        <f t="shared" si="145"/>
        <v>#DIV/0!</v>
      </c>
      <c r="H182" s="53"/>
      <c r="I182" s="71"/>
      <c r="J182" s="53">
        <f t="shared" si="146"/>
        <v>0</v>
      </c>
      <c r="K182" s="64">
        <f t="shared" si="147"/>
        <v>83</v>
      </c>
      <c r="L182" s="60" t="e">
        <f t="shared" si="148"/>
        <v>#DIV/0!</v>
      </c>
      <c r="M182" s="65">
        <v>28540</v>
      </c>
      <c r="N182" s="61">
        <f t="shared" si="149"/>
        <v>2368820</v>
      </c>
      <c r="O182" s="1"/>
      <c r="P182" s="1"/>
      <c r="Q182" s="1"/>
      <c r="R182" s="1">
        <f t="shared" si="133"/>
        <v>0</v>
      </c>
    </row>
    <row r="183" spans="1:18" x14ac:dyDescent="0.25">
      <c r="A183" s="62">
        <v>46265</v>
      </c>
      <c r="B183" s="53" t="s">
        <v>27</v>
      </c>
      <c r="C183" s="53"/>
      <c r="D183" s="53"/>
      <c r="E183" s="20">
        <f t="shared" si="144"/>
        <v>0</v>
      </c>
      <c r="F183" s="63">
        <v>78</v>
      </c>
      <c r="G183" s="21" t="e">
        <f t="shared" si="145"/>
        <v>#DIV/0!</v>
      </c>
      <c r="H183" s="53"/>
      <c r="I183" s="71"/>
      <c r="J183" s="53">
        <f t="shared" si="146"/>
        <v>0</v>
      </c>
      <c r="K183" s="64">
        <f t="shared" si="147"/>
        <v>78</v>
      </c>
      <c r="L183" s="60" t="e">
        <f t="shared" si="148"/>
        <v>#DIV/0!</v>
      </c>
      <c r="M183" s="65">
        <v>28080</v>
      </c>
      <c r="N183" s="61">
        <f t="shared" si="149"/>
        <v>2190240</v>
      </c>
      <c r="O183" s="1"/>
      <c r="P183" s="1"/>
      <c r="Q183" s="1"/>
      <c r="R183" s="1">
        <f t="shared" si="133"/>
        <v>0</v>
      </c>
    </row>
    <row r="184" spans="1:18" x14ac:dyDescent="0.25">
      <c r="A184" s="62"/>
      <c r="B184" s="53" t="s">
        <v>27</v>
      </c>
      <c r="C184" s="53"/>
      <c r="D184" s="53"/>
      <c r="E184" s="20">
        <f t="shared" si="144"/>
        <v>0</v>
      </c>
      <c r="F184" s="63"/>
      <c r="G184" s="21" t="e">
        <f t="shared" si="145"/>
        <v>#DIV/0!</v>
      </c>
      <c r="H184" s="53"/>
      <c r="I184" s="71"/>
      <c r="J184" s="53">
        <f t="shared" si="146"/>
        <v>0</v>
      </c>
      <c r="K184" s="64">
        <f t="shared" si="147"/>
        <v>0</v>
      </c>
      <c r="L184" s="60" t="e">
        <f t="shared" si="148"/>
        <v>#DIV/0!</v>
      </c>
      <c r="M184" s="65"/>
      <c r="N184" s="61">
        <f t="shared" si="149"/>
        <v>0</v>
      </c>
      <c r="O184" s="1"/>
      <c r="P184" s="1"/>
      <c r="Q184" s="1"/>
      <c r="R184" s="1">
        <f t="shared" si="133"/>
        <v>0</v>
      </c>
    </row>
    <row r="185" spans="1:18" ht="16.5" thickBot="1" x14ac:dyDescent="0.3">
      <c r="A185" s="62"/>
      <c r="B185" s="53" t="s">
        <v>27</v>
      </c>
      <c r="C185" s="53"/>
      <c r="D185" s="53"/>
      <c r="E185" s="20">
        <f t="shared" si="144"/>
        <v>0</v>
      </c>
      <c r="F185" s="63"/>
      <c r="G185" s="21" t="e">
        <f t="shared" si="145"/>
        <v>#DIV/0!</v>
      </c>
      <c r="H185" s="53"/>
      <c r="I185" s="71"/>
      <c r="J185" s="53">
        <f t="shared" si="146"/>
        <v>0</v>
      </c>
      <c r="K185" s="64">
        <f t="shared" si="147"/>
        <v>0</v>
      </c>
      <c r="L185" s="74" t="e">
        <f t="shared" si="148"/>
        <v>#DIV/0!</v>
      </c>
      <c r="M185" s="65"/>
      <c r="N185" s="61">
        <f t="shared" si="149"/>
        <v>0</v>
      </c>
      <c r="O185" s="1"/>
      <c r="P185" s="1"/>
      <c r="Q185" s="1"/>
      <c r="R185" s="1">
        <f t="shared" si="133"/>
        <v>0</v>
      </c>
    </row>
    <row r="186" spans="1:18" ht="16.5" thickBot="1" x14ac:dyDescent="0.3">
      <c r="A186" s="150"/>
      <c r="B186" s="53" t="s">
        <v>27</v>
      </c>
      <c r="C186" s="151"/>
      <c r="D186" s="151"/>
      <c r="E186" s="88">
        <f t="shared" si="144"/>
        <v>0</v>
      </c>
      <c r="F186" s="54"/>
      <c r="G186" s="70" t="e">
        <f t="shared" si="145"/>
        <v>#DIV/0!</v>
      </c>
      <c r="H186" s="151"/>
      <c r="I186" s="152"/>
      <c r="J186" s="151">
        <f t="shared" si="146"/>
        <v>0</v>
      </c>
      <c r="K186" s="64">
        <f t="shared" si="147"/>
        <v>0</v>
      </c>
      <c r="L186" s="153" t="e">
        <f t="shared" si="148"/>
        <v>#DIV/0!</v>
      </c>
      <c r="M186" s="154"/>
      <c r="N186" s="61">
        <f>M186*K186</f>
        <v>0</v>
      </c>
      <c r="O186" s="1"/>
      <c r="P186" s="1"/>
      <c r="Q186" s="1"/>
      <c r="R186" s="1">
        <f t="shared" si="133"/>
        <v>0</v>
      </c>
    </row>
    <row r="187" spans="1:18" ht="16.5" thickBot="1" x14ac:dyDescent="0.3">
      <c r="A187" s="77"/>
      <c r="B187" s="78"/>
      <c r="C187" s="77"/>
      <c r="D187" s="77" t="s">
        <v>17</v>
      </c>
      <c r="E187" s="77">
        <f>SUM(E179:E186)</f>
        <v>0</v>
      </c>
      <c r="F187" s="77"/>
      <c r="G187" s="79" t="e">
        <f>AVERAGE(G179:G186)</f>
        <v>#DIV/0!</v>
      </c>
      <c r="H187" s="77"/>
      <c r="I187" s="80"/>
      <c r="J187" s="77">
        <f t="shared" ref="J187:K187" si="150">SUM(J179:J186)</f>
        <v>0</v>
      </c>
      <c r="K187" s="77">
        <f t="shared" si="150"/>
        <v>387</v>
      </c>
      <c r="L187" s="79" t="e">
        <f>AVERAGE(L179:L186)</f>
        <v>#DIV/0!</v>
      </c>
      <c r="M187" s="78"/>
      <c r="N187" s="81">
        <f>SUM(N179:N186)</f>
        <v>10761090</v>
      </c>
      <c r="O187" s="1"/>
      <c r="P187" s="1"/>
      <c r="Q187" s="1"/>
      <c r="R187" s="1">
        <f t="shared" si="133"/>
        <v>0</v>
      </c>
    </row>
    <row r="188" spans="1:18" ht="16.5" thickBot="1" x14ac:dyDescent="0.3">
      <c r="A188" s="58">
        <v>46238</v>
      </c>
      <c r="B188" s="101" t="s">
        <v>46</v>
      </c>
      <c r="C188" s="93"/>
      <c r="D188" s="19"/>
      <c r="E188" s="20">
        <f t="shared" ref="E188:E195" si="151">D188-C188</f>
        <v>0</v>
      </c>
      <c r="F188" s="54">
        <v>80</v>
      </c>
      <c r="G188" s="21" t="e">
        <f t="shared" ref="G188:G195" si="152">(F188/E188)*100</f>
        <v>#DIV/0!</v>
      </c>
      <c r="H188" s="137"/>
      <c r="I188" s="138"/>
      <c r="J188" s="52">
        <f t="shared" ref="J188:J195" si="153">I188-H188</f>
        <v>0</v>
      </c>
      <c r="K188" s="64">
        <f t="shared" ref="K188:K195" si="154">F188</f>
        <v>80</v>
      </c>
      <c r="L188" s="55" t="e">
        <f t="shared" ref="L188:L195" si="155">(K188/J188)*100</f>
        <v>#DIV/0!</v>
      </c>
      <c r="M188" s="56">
        <v>27620</v>
      </c>
      <c r="N188" s="61">
        <f t="shared" ref="N188:N192" si="156">F188*M188</f>
        <v>2209600</v>
      </c>
      <c r="O188" s="1"/>
      <c r="P188" s="1"/>
      <c r="Q188" s="1"/>
      <c r="R188" s="1"/>
    </row>
    <row r="189" spans="1:18" ht="16.5" thickBot="1" x14ac:dyDescent="0.3">
      <c r="A189" s="62">
        <v>46242</v>
      </c>
      <c r="B189" s="101" t="s">
        <v>46</v>
      </c>
      <c r="C189" s="53"/>
      <c r="D189" s="19"/>
      <c r="E189" s="20">
        <f t="shared" si="151"/>
        <v>0</v>
      </c>
      <c r="F189" s="63">
        <v>80</v>
      </c>
      <c r="G189" s="21" t="e">
        <f t="shared" si="152"/>
        <v>#DIV/0!</v>
      </c>
      <c r="H189" s="71"/>
      <c r="I189" s="71"/>
      <c r="J189" s="53">
        <f t="shared" si="153"/>
        <v>0</v>
      </c>
      <c r="K189" s="64">
        <f t="shared" si="154"/>
        <v>80</v>
      </c>
      <c r="L189" s="60" t="e">
        <f t="shared" si="155"/>
        <v>#DIV/0!</v>
      </c>
      <c r="M189" s="56">
        <v>27540</v>
      </c>
      <c r="N189" s="61">
        <f t="shared" si="156"/>
        <v>2203200</v>
      </c>
      <c r="O189" s="1"/>
      <c r="P189" s="1"/>
      <c r="Q189" s="1"/>
      <c r="R189" s="1"/>
    </row>
    <row r="190" spans="1:18" ht="16.5" thickBot="1" x14ac:dyDescent="0.3">
      <c r="A190" s="62">
        <v>46245</v>
      </c>
      <c r="B190" s="101" t="s">
        <v>46</v>
      </c>
      <c r="C190" s="53"/>
      <c r="D190" s="53"/>
      <c r="E190" s="20">
        <f t="shared" si="151"/>
        <v>0</v>
      </c>
      <c r="F190" s="63">
        <v>80</v>
      </c>
      <c r="G190" s="21" t="e">
        <f t="shared" si="152"/>
        <v>#DIV/0!</v>
      </c>
      <c r="H190" s="53"/>
      <c r="I190" s="71"/>
      <c r="J190" s="53">
        <f t="shared" si="153"/>
        <v>0</v>
      </c>
      <c r="K190" s="64">
        <f t="shared" si="154"/>
        <v>80</v>
      </c>
      <c r="L190" s="60" t="e">
        <f t="shared" si="155"/>
        <v>#DIV/0!</v>
      </c>
      <c r="M190" s="56">
        <v>27540</v>
      </c>
      <c r="N190" s="61">
        <f t="shared" si="156"/>
        <v>2203200</v>
      </c>
      <c r="O190" s="1"/>
      <c r="P190" s="1"/>
      <c r="Q190" s="1"/>
      <c r="R190" s="1"/>
    </row>
    <row r="191" spans="1:18" ht="16.5" thickBot="1" x14ac:dyDescent="0.3">
      <c r="A191" s="62">
        <v>46248</v>
      </c>
      <c r="B191" s="101" t="s">
        <v>46</v>
      </c>
      <c r="C191" s="53"/>
      <c r="D191" s="53"/>
      <c r="E191" s="20">
        <f t="shared" si="151"/>
        <v>0</v>
      </c>
      <c r="F191" s="63">
        <v>70</v>
      </c>
      <c r="G191" s="21" t="e">
        <f t="shared" si="152"/>
        <v>#DIV/0!</v>
      </c>
      <c r="H191" s="53"/>
      <c r="I191" s="71"/>
      <c r="J191" s="53">
        <f t="shared" si="153"/>
        <v>0</v>
      </c>
      <c r="K191" s="64">
        <f t="shared" si="154"/>
        <v>70</v>
      </c>
      <c r="L191" s="60" t="e">
        <f t="shared" si="155"/>
        <v>#DIV/0!</v>
      </c>
      <c r="M191" s="56">
        <v>27230</v>
      </c>
      <c r="N191" s="61">
        <f t="shared" si="156"/>
        <v>1906100</v>
      </c>
      <c r="O191" s="1"/>
      <c r="P191" s="1"/>
      <c r="Q191" s="1"/>
      <c r="R191" s="1"/>
    </row>
    <row r="192" spans="1:18" ht="16.5" thickBot="1" x14ac:dyDescent="0.3">
      <c r="A192" s="62">
        <v>46251</v>
      </c>
      <c r="B192" s="101" t="s">
        <v>46</v>
      </c>
      <c r="C192" s="53"/>
      <c r="D192" s="53"/>
      <c r="E192" s="20">
        <f t="shared" si="151"/>
        <v>0</v>
      </c>
      <c r="F192" s="63">
        <v>70</v>
      </c>
      <c r="G192" s="21" t="e">
        <f t="shared" si="152"/>
        <v>#DIV/0!</v>
      </c>
      <c r="H192" s="53"/>
      <c r="I192" s="71"/>
      <c r="J192" s="53">
        <f t="shared" si="153"/>
        <v>0</v>
      </c>
      <c r="K192" s="64">
        <f t="shared" si="154"/>
        <v>70</v>
      </c>
      <c r="L192" s="60" t="e">
        <f t="shared" si="155"/>
        <v>#DIV/0!</v>
      </c>
      <c r="M192" s="56">
        <v>27230</v>
      </c>
      <c r="N192" s="61">
        <f t="shared" si="156"/>
        <v>1906100</v>
      </c>
      <c r="O192" s="1"/>
      <c r="P192" s="1"/>
      <c r="Q192" s="1"/>
      <c r="R192" s="1"/>
    </row>
    <row r="193" spans="1:18" x14ac:dyDescent="0.25">
      <c r="A193" s="62">
        <v>46254</v>
      </c>
      <c r="B193" s="101" t="s">
        <v>46</v>
      </c>
      <c r="C193" s="53"/>
      <c r="D193" s="53"/>
      <c r="E193" s="20">
        <f t="shared" si="151"/>
        <v>0</v>
      </c>
      <c r="F193" s="63">
        <v>70</v>
      </c>
      <c r="G193" s="21" t="e">
        <f t="shared" si="152"/>
        <v>#DIV/0!</v>
      </c>
      <c r="H193" s="53"/>
      <c r="I193" s="71"/>
      <c r="J193" s="53">
        <f t="shared" si="153"/>
        <v>0</v>
      </c>
      <c r="K193" s="64">
        <f t="shared" si="154"/>
        <v>70</v>
      </c>
      <c r="L193" s="60" t="e">
        <f t="shared" si="155"/>
        <v>#DIV/0!</v>
      </c>
      <c r="M193" s="56">
        <v>27230</v>
      </c>
      <c r="N193" s="130">
        <f t="shared" ref="N193:N195" si="157">M193*K193</f>
        <v>1906100</v>
      </c>
      <c r="O193" s="1"/>
      <c r="P193" s="1"/>
      <c r="Q193" s="1"/>
      <c r="R193" s="1"/>
    </row>
    <row r="194" spans="1:18" x14ac:dyDescent="0.25">
      <c r="A194" s="62">
        <v>46257</v>
      </c>
      <c r="B194" s="101" t="s">
        <v>46</v>
      </c>
      <c r="C194" s="53"/>
      <c r="D194" s="53"/>
      <c r="E194" s="20">
        <f t="shared" si="151"/>
        <v>0</v>
      </c>
      <c r="F194" s="63">
        <v>80</v>
      </c>
      <c r="G194" s="21" t="e">
        <f t="shared" si="152"/>
        <v>#DIV/0!</v>
      </c>
      <c r="H194" s="53"/>
      <c r="I194" s="71"/>
      <c r="J194" s="53">
        <f t="shared" si="153"/>
        <v>0</v>
      </c>
      <c r="K194" s="64">
        <f t="shared" si="154"/>
        <v>80</v>
      </c>
      <c r="L194" s="60" t="e">
        <f t="shared" si="155"/>
        <v>#DIV/0!</v>
      </c>
      <c r="M194" s="65">
        <v>28540</v>
      </c>
      <c r="N194" s="130">
        <f t="shared" si="157"/>
        <v>2283200</v>
      </c>
      <c r="O194" s="1"/>
      <c r="P194" s="1"/>
      <c r="Q194" s="1"/>
      <c r="R194" s="1"/>
    </row>
    <row r="195" spans="1:18" ht="16.5" thickBot="1" x14ac:dyDescent="0.3">
      <c r="A195" s="99">
        <v>46261</v>
      </c>
      <c r="B195" s="101" t="s">
        <v>46</v>
      </c>
      <c r="C195" s="73"/>
      <c r="D195" s="73"/>
      <c r="E195" s="88">
        <f t="shared" si="151"/>
        <v>0</v>
      </c>
      <c r="F195" s="63">
        <v>70</v>
      </c>
      <c r="G195" s="70" t="e">
        <f t="shared" si="152"/>
        <v>#DIV/0!</v>
      </c>
      <c r="H195" s="73"/>
      <c r="I195" s="83"/>
      <c r="J195" s="73">
        <f t="shared" si="153"/>
        <v>0</v>
      </c>
      <c r="K195" s="64">
        <f t="shared" si="154"/>
        <v>70</v>
      </c>
      <c r="L195" s="74" t="e">
        <f t="shared" si="155"/>
        <v>#DIV/0!</v>
      </c>
      <c r="M195" s="95">
        <v>28540</v>
      </c>
      <c r="N195" s="61">
        <f t="shared" si="157"/>
        <v>1997800</v>
      </c>
      <c r="O195" s="1"/>
      <c r="P195" s="1"/>
      <c r="Q195" s="1"/>
      <c r="R195" s="1"/>
    </row>
    <row r="196" spans="1:18" ht="16.5" thickBot="1" x14ac:dyDescent="0.3">
      <c r="A196" s="77"/>
      <c r="B196" s="78"/>
      <c r="C196" s="77"/>
      <c r="D196" s="77" t="s">
        <v>17</v>
      </c>
      <c r="E196" s="77">
        <f>SUM(E188:E195)</f>
        <v>0</v>
      </c>
      <c r="F196" s="77"/>
      <c r="G196" s="79" t="e">
        <f>AVERAGE(G188:G195)</f>
        <v>#DIV/0!</v>
      </c>
      <c r="H196" s="77"/>
      <c r="I196" s="80"/>
      <c r="J196" s="77">
        <f t="shared" ref="J196:K196" si="158">SUM(J188:J195)</f>
        <v>0</v>
      </c>
      <c r="K196" s="77">
        <f t="shared" si="158"/>
        <v>600</v>
      </c>
      <c r="L196" s="79" t="e">
        <f>AVERAGE(L188:L195)</f>
        <v>#DIV/0!</v>
      </c>
      <c r="M196" s="78"/>
      <c r="N196" s="81">
        <f>SUM(N188:N195)</f>
        <v>16615300</v>
      </c>
      <c r="O196" s="1"/>
      <c r="P196" s="1"/>
      <c r="Q196" s="1"/>
      <c r="R196" s="1"/>
    </row>
    <row r="197" spans="1:18" x14ac:dyDescent="0.25">
      <c r="A197" s="155">
        <v>46240</v>
      </c>
      <c r="B197" s="156" t="s">
        <v>29</v>
      </c>
      <c r="C197" s="93"/>
      <c r="D197" s="19"/>
      <c r="E197" s="82">
        <f t="shared" ref="E197:E204" si="159">D197-C197</f>
        <v>0</v>
      </c>
      <c r="F197" s="54">
        <v>85</v>
      </c>
      <c r="G197" s="21" t="e">
        <f t="shared" ref="G197:G204" si="160">(F197/E197)*100</f>
        <v>#DIV/0!</v>
      </c>
      <c r="H197" s="137"/>
      <c r="I197" s="138"/>
      <c r="J197" s="52">
        <f t="shared" ref="J197:J204" si="161">I197-H197</f>
        <v>0</v>
      </c>
      <c r="K197" s="64">
        <f t="shared" ref="K197:K204" si="162">F197</f>
        <v>85</v>
      </c>
      <c r="L197" s="153" t="e">
        <f t="shared" ref="L197:L204" si="163">(K197/J197)*100</f>
        <v>#DIV/0!</v>
      </c>
      <c r="M197" s="56">
        <v>27620</v>
      </c>
      <c r="N197" s="130">
        <f t="shared" ref="N197:N204" si="164">M197*K197</f>
        <v>2347700</v>
      </c>
      <c r="O197" s="1"/>
      <c r="P197" s="1"/>
      <c r="Q197" s="1"/>
      <c r="R197" s="1"/>
    </row>
    <row r="198" spans="1:18" x14ac:dyDescent="0.25">
      <c r="A198" s="58">
        <v>46246</v>
      </c>
      <c r="B198" s="156" t="s">
        <v>29</v>
      </c>
      <c r="C198" s="93"/>
      <c r="D198" s="19"/>
      <c r="E198" s="82">
        <f t="shared" si="159"/>
        <v>0</v>
      </c>
      <c r="F198" s="63">
        <v>83</v>
      </c>
      <c r="G198" s="21" t="e">
        <f t="shared" si="160"/>
        <v>#DIV/0!</v>
      </c>
      <c r="H198" s="71"/>
      <c r="I198" s="71"/>
      <c r="J198" s="53">
        <f t="shared" si="161"/>
        <v>0</v>
      </c>
      <c r="K198" s="64">
        <f t="shared" si="162"/>
        <v>83</v>
      </c>
      <c r="L198" s="153" t="e">
        <f t="shared" si="163"/>
        <v>#DIV/0!</v>
      </c>
      <c r="M198" s="124">
        <v>27540</v>
      </c>
      <c r="N198" s="130">
        <f t="shared" si="164"/>
        <v>2285820</v>
      </c>
      <c r="O198" s="1"/>
      <c r="P198" s="1"/>
      <c r="Q198" s="1"/>
      <c r="R198" s="1"/>
    </row>
    <row r="199" spans="1:18" x14ac:dyDescent="0.25">
      <c r="A199" s="58">
        <v>46253</v>
      </c>
      <c r="B199" s="156" t="s">
        <v>29</v>
      </c>
      <c r="C199" s="93"/>
      <c r="D199" s="93"/>
      <c r="E199" s="20">
        <f t="shared" si="159"/>
        <v>0</v>
      </c>
      <c r="F199" s="59">
        <v>82</v>
      </c>
      <c r="G199" s="21" t="e">
        <f t="shared" si="160"/>
        <v>#DIV/0!</v>
      </c>
      <c r="H199" s="53"/>
      <c r="I199" s="71"/>
      <c r="J199" s="53">
        <f t="shared" si="161"/>
        <v>0</v>
      </c>
      <c r="K199" s="64">
        <f t="shared" si="162"/>
        <v>82</v>
      </c>
      <c r="L199" s="153" t="e">
        <f t="shared" si="163"/>
        <v>#DIV/0!</v>
      </c>
      <c r="M199" s="124">
        <v>27230</v>
      </c>
      <c r="N199" s="130">
        <f t="shared" si="164"/>
        <v>2232860</v>
      </c>
      <c r="O199" s="1"/>
      <c r="P199" s="1"/>
      <c r="Q199" s="1"/>
      <c r="R199" s="1"/>
    </row>
    <row r="200" spans="1:18" x14ac:dyDescent="0.25">
      <c r="A200" s="58">
        <v>46258</v>
      </c>
      <c r="B200" s="156" t="s">
        <v>29</v>
      </c>
      <c r="C200" s="93"/>
      <c r="D200" s="93"/>
      <c r="E200" s="20">
        <f t="shared" si="159"/>
        <v>0</v>
      </c>
      <c r="F200" s="59">
        <v>75</v>
      </c>
      <c r="G200" s="21" t="e">
        <f t="shared" si="160"/>
        <v>#DIV/0!</v>
      </c>
      <c r="H200" s="53"/>
      <c r="I200" s="71"/>
      <c r="J200" s="53">
        <f t="shared" si="161"/>
        <v>0</v>
      </c>
      <c r="K200" s="64">
        <f t="shared" si="162"/>
        <v>75</v>
      </c>
      <c r="L200" s="153" t="e">
        <f t="shared" si="163"/>
        <v>#DIV/0!</v>
      </c>
      <c r="M200" s="124">
        <v>28540</v>
      </c>
      <c r="N200" s="130">
        <f t="shared" si="164"/>
        <v>2140500</v>
      </c>
      <c r="O200" s="1"/>
      <c r="P200" s="1"/>
      <c r="Q200" s="1"/>
      <c r="R200" s="1"/>
    </row>
    <row r="201" spans="1:18" x14ac:dyDescent="0.25">
      <c r="A201" s="58">
        <v>46263</v>
      </c>
      <c r="B201" s="156" t="s">
        <v>29</v>
      </c>
      <c r="C201" s="93"/>
      <c r="D201" s="93"/>
      <c r="E201" s="20">
        <f t="shared" si="159"/>
        <v>0</v>
      </c>
      <c r="F201" s="59">
        <v>40</v>
      </c>
      <c r="G201" s="21" t="e">
        <f t="shared" si="160"/>
        <v>#DIV/0!</v>
      </c>
      <c r="H201" s="53"/>
      <c r="I201" s="71"/>
      <c r="J201" s="53">
        <f t="shared" si="161"/>
        <v>0</v>
      </c>
      <c r="K201" s="64">
        <f t="shared" si="162"/>
        <v>40</v>
      </c>
      <c r="L201" s="153" t="e">
        <f t="shared" si="163"/>
        <v>#DIV/0!</v>
      </c>
      <c r="M201" s="124">
        <v>28080</v>
      </c>
      <c r="N201" s="130">
        <f t="shared" si="164"/>
        <v>1123200</v>
      </c>
      <c r="O201" s="1"/>
      <c r="P201" s="1"/>
      <c r="Q201" s="1"/>
      <c r="R201" s="1"/>
    </row>
    <row r="202" spans="1:18" x14ac:dyDescent="0.25">
      <c r="A202" s="58"/>
      <c r="B202" s="156" t="s">
        <v>29</v>
      </c>
      <c r="C202" s="93"/>
      <c r="D202" s="93"/>
      <c r="E202" s="20">
        <f t="shared" si="159"/>
        <v>0</v>
      </c>
      <c r="F202" s="59"/>
      <c r="G202" s="21" t="e">
        <f t="shared" si="160"/>
        <v>#DIV/0!</v>
      </c>
      <c r="H202" s="53"/>
      <c r="I202" s="71"/>
      <c r="J202" s="53">
        <f t="shared" si="161"/>
        <v>0</v>
      </c>
      <c r="K202" s="64">
        <f t="shared" si="162"/>
        <v>0</v>
      </c>
      <c r="L202" s="153" t="e">
        <f t="shared" si="163"/>
        <v>#DIV/0!</v>
      </c>
      <c r="M202" s="124"/>
      <c r="N202" s="130">
        <f t="shared" si="164"/>
        <v>0</v>
      </c>
      <c r="O202" s="1"/>
      <c r="P202" s="1"/>
      <c r="Q202" s="1"/>
      <c r="R202" s="1"/>
    </row>
    <row r="203" spans="1:18" x14ac:dyDescent="0.25">
      <c r="A203" s="58"/>
      <c r="B203" s="156" t="s">
        <v>29</v>
      </c>
      <c r="C203" s="93"/>
      <c r="D203" s="93"/>
      <c r="E203" s="20">
        <f t="shared" si="159"/>
        <v>0</v>
      </c>
      <c r="F203" s="59"/>
      <c r="G203" s="21" t="e">
        <f t="shared" si="160"/>
        <v>#DIV/0!</v>
      </c>
      <c r="H203" s="93"/>
      <c r="I203" s="137"/>
      <c r="J203" s="93">
        <f t="shared" si="161"/>
        <v>0</v>
      </c>
      <c r="K203" s="64">
        <f t="shared" si="162"/>
        <v>0</v>
      </c>
      <c r="L203" s="153" t="e">
        <f t="shared" si="163"/>
        <v>#DIV/0!</v>
      </c>
      <c r="M203" s="124"/>
      <c r="N203" s="130">
        <f t="shared" si="164"/>
        <v>0</v>
      </c>
      <c r="O203" s="1"/>
      <c r="P203" s="1"/>
      <c r="Q203" s="1"/>
      <c r="R203" s="1"/>
    </row>
    <row r="204" spans="1:18" ht="16.5" thickBot="1" x14ac:dyDescent="0.3">
      <c r="A204" s="157"/>
      <c r="B204" s="156" t="s">
        <v>29</v>
      </c>
      <c r="C204" s="151"/>
      <c r="D204" s="151"/>
      <c r="E204" s="88">
        <f t="shared" si="159"/>
        <v>0</v>
      </c>
      <c r="F204" s="158"/>
      <c r="G204" s="70" t="e">
        <f t="shared" si="160"/>
        <v>#DIV/0!</v>
      </c>
      <c r="H204" s="151"/>
      <c r="I204" s="152"/>
      <c r="J204" s="151">
        <f t="shared" si="161"/>
        <v>0</v>
      </c>
      <c r="K204" s="64">
        <f t="shared" si="162"/>
        <v>0</v>
      </c>
      <c r="L204" s="153" t="e">
        <f t="shared" si="163"/>
        <v>#DIV/0!</v>
      </c>
      <c r="M204" s="154"/>
      <c r="N204" s="61">
        <f t="shared" si="164"/>
        <v>0</v>
      </c>
      <c r="O204" s="1"/>
      <c r="P204" s="1"/>
      <c r="Q204" s="1"/>
      <c r="R204" s="1"/>
    </row>
    <row r="205" spans="1:18" ht="16.5" thickBot="1" x14ac:dyDescent="0.3">
      <c r="A205" s="157"/>
      <c r="B205" s="78"/>
      <c r="C205" s="77"/>
      <c r="D205" s="77" t="s">
        <v>17</v>
      </c>
      <c r="E205" s="77">
        <f>SUM(E197:E204)</f>
        <v>0</v>
      </c>
      <c r="F205" s="77"/>
      <c r="G205" s="79" t="e">
        <f>AVERAGE(G197:G204)</f>
        <v>#DIV/0!</v>
      </c>
      <c r="H205" s="77"/>
      <c r="I205" s="80"/>
      <c r="J205" s="77">
        <f t="shared" ref="J205:K205" si="165">SUM(J197:J204)</f>
        <v>0</v>
      </c>
      <c r="K205" s="77">
        <f t="shared" si="165"/>
        <v>365</v>
      </c>
      <c r="L205" s="79" t="e">
        <f>AVERAGE(L197:L204)</f>
        <v>#DIV/0!</v>
      </c>
      <c r="M205" s="78"/>
      <c r="N205" s="81">
        <f>SUM(N197:N204)</f>
        <v>10130080</v>
      </c>
      <c r="O205" s="1"/>
      <c r="P205" s="1"/>
      <c r="Q205" s="1"/>
      <c r="R205" s="1"/>
    </row>
    <row r="206" spans="1:18" x14ac:dyDescent="0.25">
      <c r="A206" s="155">
        <v>46235</v>
      </c>
      <c r="B206" s="159" t="s">
        <v>30</v>
      </c>
      <c r="C206" s="93"/>
      <c r="D206" s="112"/>
      <c r="E206" s="82">
        <f t="shared" ref="E206:E212" si="166">D206-C206</f>
        <v>0</v>
      </c>
      <c r="F206" s="54">
        <v>80</v>
      </c>
      <c r="G206" s="122" t="e">
        <f t="shared" ref="G206:G212" si="167">(F206/E206)*100</f>
        <v>#DIV/0!</v>
      </c>
      <c r="H206" s="137"/>
      <c r="I206" s="138"/>
      <c r="J206" s="52">
        <f t="shared" ref="J206:J212" si="168">I206-H206</f>
        <v>0</v>
      </c>
      <c r="K206" s="64">
        <f t="shared" ref="K206:K212" si="169">F206</f>
        <v>80</v>
      </c>
      <c r="L206" s="160" t="e">
        <f t="shared" ref="L206:L212" si="170">(K206/J206)*100</f>
        <v>#DIV/0!</v>
      </c>
      <c r="M206" s="56">
        <v>27620</v>
      </c>
      <c r="N206" s="61">
        <f t="shared" ref="N206:N209" si="171">F206*M206</f>
        <v>2209600</v>
      </c>
      <c r="O206" s="1"/>
      <c r="P206" s="1"/>
      <c r="Q206" s="1"/>
      <c r="R206" s="1">
        <f t="shared" ref="R206:R212" si="172">Q206</f>
        <v>0</v>
      </c>
    </row>
    <row r="207" spans="1:18" x14ac:dyDescent="0.25">
      <c r="A207" s="58">
        <v>46247</v>
      </c>
      <c r="B207" s="156" t="s">
        <v>30</v>
      </c>
      <c r="C207" s="93"/>
      <c r="D207" s="19"/>
      <c r="E207" s="82">
        <f t="shared" si="166"/>
        <v>0</v>
      </c>
      <c r="F207" s="63">
        <v>70</v>
      </c>
      <c r="G207" s="21" t="e">
        <f t="shared" si="167"/>
        <v>#DIV/0!</v>
      </c>
      <c r="H207" s="71"/>
      <c r="I207" s="71"/>
      <c r="J207" s="53">
        <f t="shared" si="168"/>
        <v>0</v>
      </c>
      <c r="K207" s="64">
        <f t="shared" si="169"/>
        <v>70</v>
      </c>
      <c r="L207" s="153" t="e">
        <f t="shared" si="170"/>
        <v>#DIV/0!</v>
      </c>
      <c r="M207" s="124">
        <v>27540</v>
      </c>
      <c r="N207" s="61">
        <f t="shared" si="171"/>
        <v>1927800</v>
      </c>
      <c r="O207" s="1"/>
      <c r="P207" s="1"/>
      <c r="Q207" s="1"/>
      <c r="R207" s="1">
        <f t="shared" si="172"/>
        <v>0</v>
      </c>
    </row>
    <row r="208" spans="1:18" x14ac:dyDescent="0.25">
      <c r="A208" s="58">
        <v>46249</v>
      </c>
      <c r="B208" s="156" t="s">
        <v>30</v>
      </c>
      <c r="C208" s="93"/>
      <c r="D208" s="93"/>
      <c r="E208" s="20">
        <f t="shared" si="166"/>
        <v>0</v>
      </c>
      <c r="F208" s="59">
        <v>85</v>
      </c>
      <c r="G208" s="21" t="e">
        <f t="shared" si="167"/>
        <v>#DIV/0!</v>
      </c>
      <c r="H208" s="53"/>
      <c r="I208" s="71"/>
      <c r="J208" s="53">
        <f t="shared" si="168"/>
        <v>0</v>
      </c>
      <c r="K208" s="64">
        <f t="shared" si="169"/>
        <v>85</v>
      </c>
      <c r="L208" s="153" t="e">
        <f t="shared" si="170"/>
        <v>#DIV/0!</v>
      </c>
      <c r="M208" s="124">
        <v>27230</v>
      </c>
      <c r="N208" s="61">
        <f t="shared" si="171"/>
        <v>2314550</v>
      </c>
      <c r="O208" s="1"/>
      <c r="P208" s="1"/>
      <c r="Q208" s="1"/>
      <c r="R208" s="1">
        <f t="shared" si="172"/>
        <v>0</v>
      </c>
    </row>
    <row r="209" spans="1:18" x14ac:dyDescent="0.25">
      <c r="A209" s="58">
        <v>46256</v>
      </c>
      <c r="B209" s="156" t="s">
        <v>30</v>
      </c>
      <c r="C209" s="93"/>
      <c r="D209" s="93"/>
      <c r="E209" s="20">
        <f t="shared" si="166"/>
        <v>0</v>
      </c>
      <c r="F209" s="59">
        <v>85</v>
      </c>
      <c r="G209" s="21" t="e">
        <f t="shared" si="167"/>
        <v>#DIV/0!</v>
      </c>
      <c r="H209" s="53"/>
      <c r="I209" s="71"/>
      <c r="J209" s="53">
        <f t="shared" si="168"/>
        <v>0</v>
      </c>
      <c r="K209" s="64">
        <f t="shared" si="169"/>
        <v>85</v>
      </c>
      <c r="L209" s="153" t="e">
        <f t="shared" si="170"/>
        <v>#DIV/0!</v>
      </c>
      <c r="M209" s="124">
        <v>28540</v>
      </c>
      <c r="N209" s="61">
        <f t="shared" si="171"/>
        <v>2425900</v>
      </c>
      <c r="O209" s="1"/>
      <c r="P209" s="1"/>
      <c r="Q209" s="1"/>
      <c r="R209" s="1">
        <f t="shared" si="172"/>
        <v>0</v>
      </c>
    </row>
    <row r="210" spans="1:18" x14ac:dyDescent="0.25">
      <c r="A210" s="58">
        <v>46259</v>
      </c>
      <c r="B210" s="156" t="s">
        <v>30</v>
      </c>
      <c r="C210" s="93"/>
      <c r="D210" s="93"/>
      <c r="E210" s="20">
        <f t="shared" si="166"/>
        <v>0</v>
      </c>
      <c r="F210" s="59">
        <v>90</v>
      </c>
      <c r="G210" s="21" t="e">
        <f t="shared" si="167"/>
        <v>#DIV/0!</v>
      </c>
      <c r="H210" s="53"/>
      <c r="I210" s="71"/>
      <c r="J210" s="53">
        <f t="shared" si="168"/>
        <v>0</v>
      </c>
      <c r="K210" s="64">
        <f t="shared" si="169"/>
        <v>90</v>
      </c>
      <c r="L210" s="153" t="e">
        <f t="shared" si="170"/>
        <v>#DIV/0!</v>
      </c>
      <c r="M210" s="124">
        <v>28540</v>
      </c>
      <c r="N210" s="130">
        <f t="shared" ref="N210:N212" si="173">M210*K210</f>
        <v>2568600</v>
      </c>
      <c r="O210" s="1"/>
      <c r="P210" s="1"/>
      <c r="Q210" s="1"/>
      <c r="R210" s="1">
        <f t="shared" si="172"/>
        <v>0</v>
      </c>
    </row>
    <row r="211" spans="1:18" x14ac:dyDescent="0.25">
      <c r="A211" s="58">
        <v>46263</v>
      </c>
      <c r="B211" s="156" t="s">
        <v>30</v>
      </c>
      <c r="C211" s="93"/>
      <c r="D211" s="93"/>
      <c r="E211" s="20">
        <f t="shared" si="166"/>
        <v>0</v>
      </c>
      <c r="F211" s="59">
        <v>80</v>
      </c>
      <c r="G211" s="21" t="e">
        <f t="shared" si="167"/>
        <v>#DIV/0!</v>
      </c>
      <c r="H211" s="53"/>
      <c r="I211" s="71"/>
      <c r="J211" s="53">
        <f t="shared" si="168"/>
        <v>0</v>
      </c>
      <c r="K211" s="64">
        <f t="shared" si="169"/>
        <v>80</v>
      </c>
      <c r="L211" s="153" t="e">
        <f t="shared" si="170"/>
        <v>#DIV/0!</v>
      </c>
      <c r="M211" s="124">
        <v>28080</v>
      </c>
      <c r="N211" s="130">
        <f t="shared" si="173"/>
        <v>2246400</v>
      </c>
      <c r="O211" s="1"/>
      <c r="P211" s="1"/>
      <c r="Q211" s="1"/>
      <c r="R211" s="1">
        <f t="shared" si="172"/>
        <v>0</v>
      </c>
    </row>
    <row r="212" spans="1:18" ht="16.5" thickBot="1" x14ac:dyDescent="0.3">
      <c r="A212" s="58"/>
      <c r="B212" s="156" t="s">
        <v>30</v>
      </c>
      <c r="C212" s="93"/>
      <c r="D212" s="93"/>
      <c r="E212" s="20">
        <f t="shared" si="166"/>
        <v>0</v>
      </c>
      <c r="F212" s="59"/>
      <c r="G212" s="21" t="e">
        <f t="shared" si="167"/>
        <v>#DIV/0!</v>
      </c>
      <c r="H212" s="93"/>
      <c r="I212" s="137"/>
      <c r="J212" s="93">
        <f t="shared" si="168"/>
        <v>0</v>
      </c>
      <c r="K212" s="64">
        <f t="shared" si="169"/>
        <v>0</v>
      </c>
      <c r="L212" s="153" t="e">
        <f t="shared" si="170"/>
        <v>#DIV/0!</v>
      </c>
      <c r="M212" s="124"/>
      <c r="N212" s="130">
        <f t="shared" si="173"/>
        <v>0</v>
      </c>
      <c r="O212" s="1"/>
      <c r="P212" s="1"/>
      <c r="Q212" s="1"/>
      <c r="R212" s="1">
        <f t="shared" si="172"/>
        <v>0</v>
      </c>
    </row>
    <row r="213" spans="1:18" ht="16.5" thickBot="1" x14ac:dyDescent="0.3">
      <c r="A213" s="58"/>
      <c r="B213" s="78"/>
      <c r="C213" s="77"/>
      <c r="D213" s="77" t="s">
        <v>17</v>
      </c>
      <c r="E213" s="77">
        <f>SUM(E200:E212)</f>
        <v>0</v>
      </c>
      <c r="F213" s="77"/>
      <c r="G213" s="79" t="e">
        <f>AVERAGE(G200:G212)</f>
        <v>#DIV/0!</v>
      </c>
      <c r="H213" s="77"/>
      <c r="I213" s="80"/>
      <c r="J213" s="77">
        <f>SUM(J200:J212)</f>
        <v>0</v>
      </c>
      <c r="K213" s="77">
        <f>SUM(K206:K212)</f>
        <v>490</v>
      </c>
      <c r="L213" s="79" t="e">
        <f>AVERAGE(L200:L212)</f>
        <v>#DIV/0!</v>
      </c>
      <c r="M213" s="78"/>
      <c r="N213" s="149">
        <f>SUM(N206:N212)</f>
        <v>13692850</v>
      </c>
      <c r="O213" s="1"/>
      <c r="P213" s="1"/>
      <c r="Q213" s="1"/>
      <c r="R213" s="1"/>
    </row>
    <row r="214" spans="1:18" x14ac:dyDescent="0.25">
      <c r="A214" s="155">
        <v>46239</v>
      </c>
      <c r="B214" s="156" t="s">
        <v>31</v>
      </c>
      <c r="C214" s="93"/>
      <c r="D214" s="112"/>
      <c r="E214" s="82">
        <f t="shared" ref="E214:E220" si="174">D214-C214</f>
        <v>0</v>
      </c>
      <c r="F214" s="54">
        <v>62</v>
      </c>
      <c r="G214" s="122" t="e">
        <f t="shared" ref="G214:G220" si="175">(F214/E214)*100</f>
        <v>#DIV/0!</v>
      </c>
      <c r="H214" s="137"/>
      <c r="I214" s="138"/>
      <c r="J214" s="52">
        <f t="shared" ref="J214:J220" si="176">I214-H214</f>
        <v>0</v>
      </c>
      <c r="K214" s="64">
        <f t="shared" ref="K214:K220" si="177">F214</f>
        <v>62</v>
      </c>
      <c r="L214" s="160" t="e">
        <f t="shared" ref="L214:L220" si="178">(K214/J214)*100</f>
        <v>#DIV/0!</v>
      </c>
      <c r="M214" s="56">
        <v>27620</v>
      </c>
      <c r="N214" s="130">
        <f t="shared" ref="N214:N220" si="179">M214*K214</f>
        <v>1712440</v>
      </c>
      <c r="O214" s="1"/>
      <c r="P214" s="1"/>
      <c r="Q214" s="1"/>
      <c r="R214" s="1"/>
    </row>
    <row r="215" spans="1:18" x14ac:dyDescent="0.25">
      <c r="A215" s="58">
        <v>46246</v>
      </c>
      <c r="B215" s="156" t="s">
        <v>31</v>
      </c>
      <c r="C215" s="93"/>
      <c r="D215" s="19"/>
      <c r="E215" s="82">
        <f t="shared" si="174"/>
        <v>0</v>
      </c>
      <c r="F215" s="63">
        <v>72</v>
      </c>
      <c r="G215" s="21" t="e">
        <f t="shared" si="175"/>
        <v>#DIV/0!</v>
      </c>
      <c r="H215" s="71"/>
      <c r="I215" s="71"/>
      <c r="J215" s="53">
        <f t="shared" si="176"/>
        <v>0</v>
      </c>
      <c r="K215" s="64">
        <f t="shared" si="177"/>
        <v>72</v>
      </c>
      <c r="L215" s="153" t="e">
        <f t="shared" si="178"/>
        <v>#DIV/0!</v>
      </c>
      <c r="M215" s="124">
        <v>27540</v>
      </c>
      <c r="N215" s="130">
        <f t="shared" si="179"/>
        <v>1982880</v>
      </c>
      <c r="O215" s="1"/>
      <c r="P215" s="1"/>
      <c r="Q215" s="1"/>
      <c r="R215" s="1"/>
    </row>
    <row r="216" spans="1:18" x14ac:dyDescent="0.25">
      <c r="A216" s="58">
        <v>46253</v>
      </c>
      <c r="B216" s="156" t="s">
        <v>31</v>
      </c>
      <c r="C216" s="93"/>
      <c r="D216" s="93"/>
      <c r="E216" s="20">
        <f t="shared" si="174"/>
        <v>0</v>
      </c>
      <c r="F216" s="59">
        <v>73</v>
      </c>
      <c r="G216" s="21" t="e">
        <f t="shared" si="175"/>
        <v>#DIV/0!</v>
      </c>
      <c r="H216" s="53"/>
      <c r="I216" s="71"/>
      <c r="J216" s="53">
        <f t="shared" si="176"/>
        <v>0</v>
      </c>
      <c r="K216" s="64">
        <f t="shared" si="177"/>
        <v>73</v>
      </c>
      <c r="L216" s="153" t="e">
        <f t="shared" si="178"/>
        <v>#DIV/0!</v>
      </c>
      <c r="M216" s="124">
        <v>27230</v>
      </c>
      <c r="N216" s="130">
        <f t="shared" si="179"/>
        <v>1987790</v>
      </c>
      <c r="O216" s="1"/>
      <c r="P216" s="1"/>
      <c r="Q216" s="1"/>
      <c r="R216" s="1"/>
    </row>
    <row r="217" spans="1:18" x14ac:dyDescent="0.25">
      <c r="A217" s="58">
        <v>46261</v>
      </c>
      <c r="B217" s="156" t="s">
        <v>31</v>
      </c>
      <c r="C217" s="93"/>
      <c r="D217" s="93"/>
      <c r="E217" s="20">
        <f t="shared" si="174"/>
        <v>0</v>
      </c>
      <c r="F217" s="59">
        <v>73</v>
      </c>
      <c r="G217" s="21" t="e">
        <f t="shared" si="175"/>
        <v>#DIV/0!</v>
      </c>
      <c r="H217" s="53"/>
      <c r="I217" s="71"/>
      <c r="J217" s="53">
        <f t="shared" si="176"/>
        <v>0</v>
      </c>
      <c r="K217" s="64">
        <f t="shared" si="177"/>
        <v>73</v>
      </c>
      <c r="L217" s="153" t="e">
        <f t="shared" si="178"/>
        <v>#DIV/0!</v>
      </c>
      <c r="M217" s="124">
        <v>28080</v>
      </c>
      <c r="N217" s="130">
        <f t="shared" si="179"/>
        <v>2049840</v>
      </c>
      <c r="O217" s="1"/>
      <c r="P217" s="1"/>
      <c r="Q217" s="1"/>
      <c r="R217" s="1"/>
    </row>
    <row r="218" spans="1:18" x14ac:dyDescent="0.25">
      <c r="A218" s="58"/>
      <c r="B218" s="156" t="s">
        <v>31</v>
      </c>
      <c r="C218" s="93"/>
      <c r="D218" s="93"/>
      <c r="E218" s="20">
        <f t="shared" si="174"/>
        <v>0</v>
      </c>
      <c r="F218" s="59"/>
      <c r="G218" s="21" t="e">
        <f t="shared" si="175"/>
        <v>#DIV/0!</v>
      </c>
      <c r="H218" s="53"/>
      <c r="I218" s="71"/>
      <c r="J218" s="53">
        <f t="shared" si="176"/>
        <v>0</v>
      </c>
      <c r="K218" s="64">
        <f t="shared" si="177"/>
        <v>0</v>
      </c>
      <c r="L218" s="153" t="e">
        <f t="shared" si="178"/>
        <v>#DIV/0!</v>
      </c>
      <c r="M218" s="124"/>
      <c r="N218" s="130">
        <f t="shared" si="179"/>
        <v>0</v>
      </c>
      <c r="O218" s="1"/>
      <c r="P218" s="1"/>
      <c r="Q218" s="1"/>
      <c r="R218" s="1"/>
    </row>
    <row r="219" spans="1:18" x14ac:dyDescent="0.25">
      <c r="A219" s="58"/>
      <c r="B219" s="156" t="s">
        <v>31</v>
      </c>
      <c r="C219" s="93"/>
      <c r="D219" s="93"/>
      <c r="E219" s="20">
        <f t="shared" si="174"/>
        <v>0</v>
      </c>
      <c r="F219" s="59"/>
      <c r="G219" s="21" t="e">
        <f t="shared" si="175"/>
        <v>#DIV/0!</v>
      </c>
      <c r="H219" s="53"/>
      <c r="I219" s="71"/>
      <c r="J219" s="53">
        <f t="shared" si="176"/>
        <v>0</v>
      </c>
      <c r="K219" s="64">
        <f t="shared" si="177"/>
        <v>0</v>
      </c>
      <c r="L219" s="153" t="e">
        <f t="shared" si="178"/>
        <v>#DIV/0!</v>
      </c>
      <c r="M219" s="124"/>
      <c r="N219" s="130">
        <f t="shared" si="179"/>
        <v>0</v>
      </c>
      <c r="O219" s="1"/>
      <c r="P219" s="1"/>
      <c r="Q219" s="1"/>
      <c r="R219" s="1"/>
    </row>
    <row r="220" spans="1:18" ht="16.5" thickBot="1" x14ac:dyDescent="0.3">
      <c r="A220" s="58"/>
      <c r="B220" s="156" t="s">
        <v>31</v>
      </c>
      <c r="C220" s="93"/>
      <c r="D220" s="93"/>
      <c r="E220" s="20">
        <f t="shared" si="174"/>
        <v>0</v>
      </c>
      <c r="F220" s="59"/>
      <c r="G220" s="21" t="e">
        <f t="shared" si="175"/>
        <v>#DIV/0!</v>
      </c>
      <c r="H220" s="93"/>
      <c r="I220" s="137"/>
      <c r="J220" s="93">
        <f t="shared" si="176"/>
        <v>0</v>
      </c>
      <c r="K220" s="64">
        <f t="shared" si="177"/>
        <v>0</v>
      </c>
      <c r="L220" s="153" t="e">
        <f t="shared" si="178"/>
        <v>#DIV/0!</v>
      </c>
      <c r="M220" s="124"/>
      <c r="N220" s="130">
        <f t="shared" si="179"/>
        <v>0</v>
      </c>
      <c r="O220" s="1"/>
      <c r="P220" s="1"/>
      <c r="Q220" s="1"/>
      <c r="R220" s="1">
        <f>Q220</f>
        <v>0</v>
      </c>
    </row>
    <row r="221" spans="1:18" ht="16.5" thickBot="1" x14ac:dyDescent="0.3">
      <c r="A221" s="58"/>
      <c r="B221" s="78"/>
      <c r="C221" s="77"/>
      <c r="D221" s="77" t="s">
        <v>17</v>
      </c>
      <c r="E221" s="77">
        <f>SUM(E206:E220)</f>
        <v>0</v>
      </c>
      <c r="F221" s="77"/>
      <c r="G221" s="79" t="e">
        <f>AVERAGE(G206:G220)</f>
        <v>#DIV/0!</v>
      </c>
      <c r="H221" s="77"/>
      <c r="I221" s="80"/>
      <c r="J221" s="77">
        <f>SUM(J206:J220)</f>
        <v>0</v>
      </c>
      <c r="K221" s="77">
        <f>SUM(K214:K220)</f>
        <v>280</v>
      </c>
      <c r="L221" s="79" t="e">
        <f>AVERAGE(L206:L220)</f>
        <v>#DIV/0!</v>
      </c>
      <c r="M221" s="78"/>
      <c r="N221" s="149">
        <f>SUM(N214:N220)</f>
        <v>7732950</v>
      </c>
      <c r="O221" s="1"/>
      <c r="P221" s="1"/>
      <c r="Q221" s="1"/>
      <c r="R221" s="1"/>
    </row>
    <row r="222" spans="1:18" x14ac:dyDescent="0.25">
      <c r="A222" s="58">
        <v>46240</v>
      </c>
      <c r="B222" s="156" t="s">
        <v>47</v>
      </c>
      <c r="C222" s="93"/>
      <c r="D222" s="112"/>
      <c r="E222" s="82">
        <f t="shared" ref="E222:E228" si="180">D222-C222</f>
        <v>0</v>
      </c>
      <c r="F222" s="54">
        <v>63</v>
      </c>
      <c r="G222" s="122" t="e">
        <f t="shared" ref="G222:G228" si="181">(F222/E222)*100</f>
        <v>#DIV/0!</v>
      </c>
      <c r="H222" s="137"/>
      <c r="I222" s="138"/>
      <c r="J222" s="52">
        <f t="shared" ref="J222:J228" si="182">I222-H222</f>
        <v>0</v>
      </c>
      <c r="K222" s="64">
        <f t="shared" ref="K222:K228" si="183">F222</f>
        <v>63</v>
      </c>
      <c r="L222" s="160" t="e">
        <f t="shared" ref="L222:L228" si="184">(K222/J222)*100</f>
        <v>#DIV/0!</v>
      </c>
      <c r="M222" s="56">
        <v>27620</v>
      </c>
      <c r="N222" s="61">
        <f>F222*M222</f>
        <v>1740060</v>
      </c>
      <c r="O222" s="1"/>
      <c r="P222" s="1"/>
      <c r="Q222" s="1"/>
      <c r="R222" s="1"/>
    </row>
    <row r="223" spans="1:18" x14ac:dyDescent="0.25">
      <c r="A223" s="58">
        <v>46246</v>
      </c>
      <c r="B223" s="156" t="s">
        <v>47</v>
      </c>
      <c r="C223" s="93"/>
      <c r="D223" s="19"/>
      <c r="E223" s="82">
        <f t="shared" si="180"/>
        <v>0</v>
      </c>
      <c r="F223" s="63">
        <v>2</v>
      </c>
      <c r="G223" s="21" t="e">
        <f t="shared" si="181"/>
        <v>#DIV/0!</v>
      </c>
      <c r="H223" s="71"/>
      <c r="I223" s="71"/>
      <c r="J223" s="53">
        <f t="shared" si="182"/>
        <v>0</v>
      </c>
      <c r="K223" s="64">
        <f t="shared" si="183"/>
        <v>2</v>
      </c>
      <c r="L223" s="153" t="e">
        <f t="shared" si="184"/>
        <v>#DIV/0!</v>
      </c>
      <c r="M223" s="124">
        <v>70000</v>
      </c>
      <c r="N223" s="61">
        <v>140000</v>
      </c>
      <c r="O223" s="1"/>
      <c r="P223" s="1"/>
      <c r="Q223" s="1"/>
      <c r="R223" s="1"/>
    </row>
    <row r="224" spans="1:18" x14ac:dyDescent="0.25">
      <c r="A224" s="58">
        <v>46246</v>
      </c>
      <c r="B224" s="156" t="s">
        <v>47</v>
      </c>
      <c r="C224" s="93"/>
      <c r="D224" s="93"/>
      <c r="E224" s="20">
        <f t="shared" si="180"/>
        <v>0</v>
      </c>
      <c r="F224" s="59">
        <v>62</v>
      </c>
      <c r="G224" s="21" t="e">
        <f t="shared" si="181"/>
        <v>#DIV/0!</v>
      </c>
      <c r="H224" s="53"/>
      <c r="I224" s="71"/>
      <c r="J224" s="53">
        <f t="shared" si="182"/>
        <v>0</v>
      </c>
      <c r="K224" s="64">
        <f t="shared" si="183"/>
        <v>62</v>
      </c>
      <c r="L224" s="153" t="e">
        <f t="shared" si="184"/>
        <v>#DIV/0!</v>
      </c>
      <c r="M224" s="124">
        <v>27540</v>
      </c>
      <c r="N224" s="61">
        <f t="shared" ref="N224:N225" si="185">F224*M224</f>
        <v>1707480</v>
      </c>
      <c r="O224" s="1"/>
      <c r="P224" s="1"/>
      <c r="Q224" s="1"/>
      <c r="R224" s="1"/>
    </row>
    <row r="225" spans="1:18" x14ac:dyDescent="0.25">
      <c r="A225" s="58">
        <v>46253</v>
      </c>
      <c r="B225" s="156" t="s">
        <v>47</v>
      </c>
      <c r="C225" s="93"/>
      <c r="D225" s="93"/>
      <c r="E225" s="20">
        <f t="shared" si="180"/>
        <v>0</v>
      </c>
      <c r="F225" s="59">
        <v>72</v>
      </c>
      <c r="G225" s="21" t="e">
        <f t="shared" si="181"/>
        <v>#DIV/0!</v>
      </c>
      <c r="H225" s="53"/>
      <c r="I225" s="71"/>
      <c r="J225" s="53">
        <f t="shared" si="182"/>
        <v>0</v>
      </c>
      <c r="K225" s="64">
        <f t="shared" si="183"/>
        <v>72</v>
      </c>
      <c r="L225" s="153" t="e">
        <f t="shared" si="184"/>
        <v>#DIV/0!</v>
      </c>
      <c r="M225" s="124">
        <v>27230</v>
      </c>
      <c r="N225" s="61">
        <f t="shared" si="185"/>
        <v>1960560</v>
      </c>
      <c r="O225" s="1"/>
      <c r="P225" s="1"/>
      <c r="Q225" s="1"/>
      <c r="R225" s="1"/>
    </row>
    <row r="226" spans="1:18" x14ac:dyDescent="0.25">
      <c r="A226" s="58">
        <v>46261</v>
      </c>
      <c r="B226" s="156" t="s">
        <v>47</v>
      </c>
      <c r="C226" s="93"/>
      <c r="D226" s="93"/>
      <c r="E226" s="20">
        <f t="shared" si="180"/>
        <v>0</v>
      </c>
      <c r="F226" s="59">
        <v>69</v>
      </c>
      <c r="G226" s="21" t="e">
        <f t="shared" si="181"/>
        <v>#DIV/0!</v>
      </c>
      <c r="H226" s="53"/>
      <c r="I226" s="71"/>
      <c r="J226" s="53">
        <f t="shared" si="182"/>
        <v>0</v>
      </c>
      <c r="K226" s="64">
        <f t="shared" si="183"/>
        <v>69</v>
      </c>
      <c r="L226" s="153" t="e">
        <f t="shared" si="184"/>
        <v>#DIV/0!</v>
      </c>
      <c r="M226" s="124">
        <v>28540</v>
      </c>
      <c r="N226" s="130">
        <f t="shared" ref="N226:N228" si="186">M226*K226</f>
        <v>1969260</v>
      </c>
      <c r="O226" s="1"/>
      <c r="P226" s="1"/>
      <c r="Q226" s="1"/>
      <c r="R226" s="1"/>
    </row>
    <row r="227" spans="1:18" x14ac:dyDescent="0.25">
      <c r="A227" s="58"/>
      <c r="B227" s="156" t="s">
        <v>47</v>
      </c>
      <c r="C227" s="93"/>
      <c r="D227" s="93"/>
      <c r="E227" s="20">
        <f t="shared" si="180"/>
        <v>0</v>
      </c>
      <c r="F227" s="59"/>
      <c r="G227" s="21" t="e">
        <f t="shared" si="181"/>
        <v>#DIV/0!</v>
      </c>
      <c r="H227" s="53"/>
      <c r="I227" s="71"/>
      <c r="J227" s="53">
        <f t="shared" si="182"/>
        <v>0</v>
      </c>
      <c r="K227" s="64">
        <f t="shared" si="183"/>
        <v>0</v>
      </c>
      <c r="L227" s="153" t="e">
        <f t="shared" si="184"/>
        <v>#DIV/0!</v>
      </c>
      <c r="M227" s="124"/>
      <c r="N227" s="130">
        <f t="shared" si="186"/>
        <v>0</v>
      </c>
      <c r="O227" s="1"/>
      <c r="P227" s="1"/>
      <c r="Q227" s="1"/>
      <c r="R227" s="1"/>
    </row>
    <row r="228" spans="1:18" ht="16.5" thickBot="1" x14ac:dyDescent="0.3">
      <c r="A228" s="58"/>
      <c r="B228" s="156" t="s">
        <v>47</v>
      </c>
      <c r="C228" s="93"/>
      <c r="D228" s="93"/>
      <c r="E228" s="20">
        <f t="shared" si="180"/>
        <v>0</v>
      </c>
      <c r="F228" s="59"/>
      <c r="G228" s="21" t="e">
        <f t="shared" si="181"/>
        <v>#DIV/0!</v>
      </c>
      <c r="H228" s="93"/>
      <c r="I228" s="137"/>
      <c r="J228" s="93">
        <f t="shared" si="182"/>
        <v>0</v>
      </c>
      <c r="K228" s="64">
        <f t="shared" si="183"/>
        <v>0</v>
      </c>
      <c r="L228" s="153" t="e">
        <f t="shared" si="184"/>
        <v>#DIV/0!</v>
      </c>
      <c r="M228" s="124"/>
      <c r="N228" s="130">
        <f t="shared" si="186"/>
        <v>0</v>
      </c>
      <c r="O228" s="1"/>
      <c r="P228" s="1"/>
      <c r="Q228" s="1"/>
      <c r="R228" s="1"/>
    </row>
    <row r="229" spans="1:18" ht="16.5" thickBot="1" x14ac:dyDescent="0.3">
      <c r="A229" s="58"/>
      <c r="B229" s="78"/>
      <c r="C229" s="77"/>
      <c r="D229" s="77" t="s">
        <v>17</v>
      </c>
      <c r="E229" s="77">
        <f>SUM(E214:E228)</f>
        <v>0</v>
      </c>
      <c r="F229" s="77"/>
      <c r="G229" s="79" t="e">
        <f>AVERAGE(G214:G228)</f>
        <v>#DIV/0!</v>
      </c>
      <c r="H229" s="77"/>
      <c r="I229" s="80"/>
      <c r="J229" s="77">
        <f>SUM(J214:J228)</f>
        <v>0</v>
      </c>
      <c r="K229" s="77">
        <f>SUM(K222:K228)</f>
        <v>268</v>
      </c>
      <c r="L229" s="79" t="e">
        <f>AVERAGE(L214:L228)</f>
        <v>#DIV/0!</v>
      </c>
      <c r="M229" s="78"/>
      <c r="N229" s="149">
        <f>SUM(N222:N228)</f>
        <v>7517360</v>
      </c>
      <c r="O229" s="1"/>
      <c r="P229" s="1"/>
      <c r="Q229" s="1"/>
      <c r="R229" s="1"/>
    </row>
    <row r="230" spans="1:18" x14ac:dyDescent="0.25">
      <c r="A230" s="161">
        <v>46253</v>
      </c>
      <c r="B230" s="162" t="s">
        <v>34</v>
      </c>
      <c r="C230" s="163"/>
      <c r="D230" s="164"/>
      <c r="E230" s="82">
        <f t="shared" ref="E230:E236" si="187">D230-C230</f>
        <v>0</v>
      </c>
      <c r="F230" s="165">
        <v>64</v>
      </c>
      <c r="G230" s="122" t="e">
        <f t="shared" ref="G230:G236" si="188">(F230/E230)*100</f>
        <v>#DIV/0!</v>
      </c>
      <c r="H230" s="166"/>
      <c r="I230" s="167"/>
      <c r="J230" s="168">
        <f t="shared" ref="J230:J236" si="189">I230-H230</f>
        <v>0</v>
      </c>
      <c r="K230" s="169">
        <f t="shared" ref="K230:K236" si="190">F230</f>
        <v>64</v>
      </c>
      <c r="L230" s="170" t="e">
        <f t="shared" ref="L230:L236" si="191">(K230/J230)*100</f>
        <v>#DIV/0!</v>
      </c>
      <c r="M230" s="171">
        <v>27230</v>
      </c>
      <c r="N230" s="172">
        <f t="shared" ref="N230:N233" si="192">F230*M230</f>
        <v>1742720</v>
      </c>
      <c r="O230" s="1"/>
      <c r="P230" s="1"/>
      <c r="Q230" s="1"/>
      <c r="R230" s="1"/>
    </row>
    <row r="231" spans="1:18" x14ac:dyDescent="0.25">
      <c r="A231" s="161">
        <v>46260</v>
      </c>
      <c r="B231" s="162" t="s">
        <v>34</v>
      </c>
      <c r="C231" s="163"/>
      <c r="D231" s="173"/>
      <c r="E231" s="82">
        <f t="shared" si="187"/>
        <v>0</v>
      </c>
      <c r="F231" s="174">
        <v>55</v>
      </c>
      <c r="G231" s="21" t="e">
        <f t="shared" si="188"/>
        <v>#DIV/0!</v>
      </c>
      <c r="H231" s="175"/>
      <c r="I231" s="175"/>
      <c r="J231" s="129">
        <f t="shared" si="189"/>
        <v>0</v>
      </c>
      <c r="K231" s="169">
        <f t="shared" si="190"/>
        <v>55</v>
      </c>
      <c r="L231" s="176" t="e">
        <f t="shared" si="191"/>
        <v>#DIV/0!</v>
      </c>
      <c r="M231" s="177">
        <v>28540</v>
      </c>
      <c r="N231" s="172">
        <f t="shared" si="192"/>
        <v>1569700</v>
      </c>
      <c r="O231" s="1"/>
      <c r="P231" s="1"/>
      <c r="Q231" s="1"/>
      <c r="R231" s="1"/>
    </row>
    <row r="232" spans="1:18" x14ac:dyDescent="0.25">
      <c r="A232" s="161"/>
      <c r="B232" s="162" t="s">
        <v>34</v>
      </c>
      <c r="C232" s="163"/>
      <c r="D232" s="163"/>
      <c r="E232" s="20">
        <f t="shared" si="187"/>
        <v>0</v>
      </c>
      <c r="F232" s="178"/>
      <c r="G232" s="21" t="e">
        <f t="shared" si="188"/>
        <v>#DIV/0!</v>
      </c>
      <c r="H232" s="169"/>
      <c r="I232" s="175"/>
      <c r="J232" s="129">
        <f t="shared" si="189"/>
        <v>0</v>
      </c>
      <c r="K232" s="169">
        <f t="shared" si="190"/>
        <v>0</v>
      </c>
      <c r="L232" s="176" t="e">
        <f t="shared" si="191"/>
        <v>#DIV/0!</v>
      </c>
      <c r="M232" s="177"/>
      <c r="N232" s="172">
        <f t="shared" si="192"/>
        <v>0</v>
      </c>
      <c r="O232" s="1"/>
      <c r="P232" s="1"/>
      <c r="Q232" s="1"/>
      <c r="R232" s="1"/>
    </row>
    <row r="233" spans="1:18" x14ac:dyDescent="0.25">
      <c r="A233" s="161"/>
      <c r="B233" s="162" t="s">
        <v>34</v>
      </c>
      <c r="C233" s="163"/>
      <c r="D233" s="163"/>
      <c r="E233" s="20">
        <f t="shared" si="187"/>
        <v>0</v>
      </c>
      <c r="F233" s="178"/>
      <c r="G233" s="21" t="e">
        <f t="shared" si="188"/>
        <v>#DIV/0!</v>
      </c>
      <c r="H233" s="169"/>
      <c r="I233" s="175"/>
      <c r="J233" s="129">
        <f t="shared" si="189"/>
        <v>0</v>
      </c>
      <c r="K233" s="169">
        <f t="shared" si="190"/>
        <v>0</v>
      </c>
      <c r="L233" s="176" t="e">
        <f t="shared" si="191"/>
        <v>#DIV/0!</v>
      </c>
      <c r="M233" s="177"/>
      <c r="N233" s="172">
        <f t="shared" si="192"/>
        <v>0</v>
      </c>
      <c r="O233" s="1"/>
      <c r="P233" s="1"/>
      <c r="Q233" s="1"/>
      <c r="R233" s="1"/>
    </row>
    <row r="234" spans="1:18" x14ac:dyDescent="0.25">
      <c r="A234" s="161"/>
      <c r="B234" s="162" t="s">
        <v>34</v>
      </c>
      <c r="C234" s="163"/>
      <c r="D234" s="163"/>
      <c r="E234" s="20">
        <f t="shared" si="187"/>
        <v>0</v>
      </c>
      <c r="F234" s="178"/>
      <c r="G234" s="21" t="e">
        <f t="shared" si="188"/>
        <v>#DIV/0!</v>
      </c>
      <c r="H234" s="169"/>
      <c r="I234" s="175"/>
      <c r="J234" s="129">
        <f t="shared" si="189"/>
        <v>0</v>
      </c>
      <c r="K234" s="169">
        <f t="shared" si="190"/>
        <v>0</v>
      </c>
      <c r="L234" s="176" t="e">
        <f t="shared" si="191"/>
        <v>#DIV/0!</v>
      </c>
      <c r="M234" s="177"/>
      <c r="N234" s="179">
        <f t="shared" ref="N234:N236" si="193">M234*K234</f>
        <v>0</v>
      </c>
      <c r="O234" s="1"/>
      <c r="P234" s="1"/>
      <c r="Q234" s="1"/>
      <c r="R234" s="1"/>
    </row>
    <row r="235" spans="1:18" x14ac:dyDescent="0.25">
      <c r="A235" s="161"/>
      <c r="B235" s="162" t="s">
        <v>34</v>
      </c>
      <c r="C235" s="163"/>
      <c r="D235" s="163"/>
      <c r="E235" s="20">
        <f t="shared" si="187"/>
        <v>0</v>
      </c>
      <c r="F235" s="178"/>
      <c r="G235" s="21" t="e">
        <f t="shared" si="188"/>
        <v>#DIV/0!</v>
      </c>
      <c r="H235" s="169"/>
      <c r="I235" s="175"/>
      <c r="J235" s="129">
        <f t="shared" si="189"/>
        <v>0</v>
      </c>
      <c r="K235" s="169">
        <f t="shared" si="190"/>
        <v>0</v>
      </c>
      <c r="L235" s="176" t="e">
        <f t="shared" si="191"/>
        <v>#DIV/0!</v>
      </c>
      <c r="M235" s="177"/>
      <c r="N235" s="179">
        <f t="shared" si="193"/>
        <v>0</v>
      </c>
      <c r="O235" s="1"/>
      <c r="P235" s="1"/>
      <c r="Q235" s="1"/>
      <c r="R235" s="1"/>
    </row>
    <row r="236" spans="1:18" ht="16.5" thickBot="1" x14ac:dyDescent="0.3">
      <c r="A236" s="161"/>
      <c r="B236" s="162" t="s">
        <v>34</v>
      </c>
      <c r="C236" s="163"/>
      <c r="D236" s="163"/>
      <c r="E236" s="20">
        <f t="shared" si="187"/>
        <v>0</v>
      </c>
      <c r="F236" s="178"/>
      <c r="G236" s="21" t="e">
        <f t="shared" si="188"/>
        <v>#DIV/0!</v>
      </c>
      <c r="H236" s="163"/>
      <c r="I236" s="166"/>
      <c r="J236" s="180">
        <f t="shared" si="189"/>
        <v>0</v>
      </c>
      <c r="K236" s="169">
        <f t="shared" si="190"/>
        <v>0</v>
      </c>
      <c r="L236" s="176" t="e">
        <f t="shared" si="191"/>
        <v>#DIV/0!</v>
      </c>
      <c r="M236" s="177"/>
      <c r="N236" s="179">
        <f t="shared" si="193"/>
        <v>0</v>
      </c>
      <c r="O236" s="1"/>
      <c r="P236" s="1"/>
      <c r="Q236" s="1"/>
      <c r="R236" s="1"/>
    </row>
    <row r="237" spans="1:18" ht="16.5" thickBot="1" x14ac:dyDescent="0.3">
      <c r="A237" s="161"/>
      <c r="B237" s="181"/>
      <c r="C237" s="181"/>
      <c r="D237" s="182" t="s">
        <v>17</v>
      </c>
      <c r="E237" s="182">
        <f>SUM(E230:E236)</f>
        <v>0</v>
      </c>
      <c r="F237" s="182"/>
      <c r="G237" s="183" t="e">
        <f>AVERAGE(G230:G236)</f>
        <v>#DIV/0!</v>
      </c>
      <c r="H237" s="181"/>
      <c r="I237" s="184"/>
      <c r="J237" s="182">
        <f t="shared" ref="J237:K237" si="194">SUM(J230:J236)</f>
        <v>0</v>
      </c>
      <c r="K237" s="182">
        <f t="shared" si="194"/>
        <v>119</v>
      </c>
      <c r="L237" s="183" t="e">
        <f>AVERAGE(L230:L236)</f>
        <v>#DIV/0!</v>
      </c>
      <c r="M237" s="181"/>
      <c r="N237" s="149">
        <f>SUM(N230:N236)</f>
        <v>3312420</v>
      </c>
      <c r="O237" s="1"/>
      <c r="P237" s="1"/>
      <c r="Q237" s="1"/>
      <c r="R237" s="1"/>
    </row>
    <row r="238" spans="1:18" x14ac:dyDescent="0.25">
      <c r="A238" s="161">
        <v>46241</v>
      </c>
      <c r="B238" s="162" t="s">
        <v>35</v>
      </c>
      <c r="C238" s="163"/>
      <c r="D238" s="164"/>
      <c r="E238" s="82">
        <f t="shared" ref="E238:E244" si="195">D238-C238</f>
        <v>0</v>
      </c>
      <c r="F238" s="165"/>
      <c r="G238" s="122" t="e">
        <f t="shared" ref="G238:G244" si="196">(F238/E238)*100</f>
        <v>#DIV/0!</v>
      </c>
      <c r="H238" s="166"/>
      <c r="I238" s="167"/>
      <c r="J238" s="168">
        <f t="shared" ref="J238:J244" si="197">I238-H238</f>
        <v>0</v>
      </c>
      <c r="K238" s="169">
        <f t="shared" ref="K238:K244" si="198">F238</f>
        <v>0</v>
      </c>
      <c r="L238" s="170" t="e">
        <f t="shared" ref="L238:L244" si="199">(K238/J238)*100</f>
        <v>#DIV/0!</v>
      </c>
      <c r="M238" s="171"/>
      <c r="N238" s="172">
        <v>1652000</v>
      </c>
      <c r="O238" s="1"/>
      <c r="P238" s="1"/>
      <c r="Q238" s="1"/>
      <c r="R238" s="1"/>
    </row>
    <row r="239" spans="1:18" x14ac:dyDescent="0.25">
      <c r="A239" s="161">
        <v>46245</v>
      </c>
      <c r="B239" s="162" t="s">
        <v>35</v>
      </c>
      <c r="C239" s="163"/>
      <c r="D239" s="173"/>
      <c r="E239" s="82">
        <f t="shared" si="195"/>
        <v>0</v>
      </c>
      <c r="F239" s="174"/>
      <c r="G239" s="21" t="e">
        <f t="shared" si="196"/>
        <v>#DIV/0!</v>
      </c>
      <c r="H239" s="175"/>
      <c r="I239" s="175"/>
      <c r="J239" s="129">
        <f t="shared" si="197"/>
        <v>0</v>
      </c>
      <c r="K239" s="169">
        <f t="shared" si="198"/>
        <v>0</v>
      </c>
      <c r="L239" s="176" t="e">
        <f t="shared" si="199"/>
        <v>#DIV/0!</v>
      </c>
      <c r="M239" s="177"/>
      <c r="N239" s="172">
        <v>1652000</v>
      </c>
      <c r="O239" s="1"/>
      <c r="P239" s="1"/>
      <c r="Q239" s="1"/>
      <c r="R239" s="1"/>
    </row>
    <row r="240" spans="1:18" x14ac:dyDescent="0.25">
      <c r="A240" s="161">
        <v>46252</v>
      </c>
      <c r="B240" s="162" t="s">
        <v>35</v>
      </c>
      <c r="C240" s="163"/>
      <c r="D240" s="163"/>
      <c r="E240" s="20">
        <f t="shared" si="195"/>
        <v>0</v>
      </c>
      <c r="F240" s="178"/>
      <c r="G240" s="21" t="e">
        <f t="shared" si="196"/>
        <v>#DIV/0!</v>
      </c>
      <c r="H240" s="169"/>
      <c r="I240" s="175"/>
      <c r="J240" s="129">
        <f t="shared" si="197"/>
        <v>0</v>
      </c>
      <c r="K240" s="169">
        <f t="shared" si="198"/>
        <v>0</v>
      </c>
      <c r="L240" s="176" t="e">
        <f t="shared" si="199"/>
        <v>#DIV/0!</v>
      </c>
      <c r="M240" s="177"/>
      <c r="N240" s="172">
        <v>1632000</v>
      </c>
      <c r="O240" s="1"/>
      <c r="P240" s="1"/>
      <c r="Q240" s="1"/>
      <c r="R240" s="1"/>
    </row>
    <row r="241" spans="1:18" x14ac:dyDescent="0.25">
      <c r="A241" s="161">
        <v>46256</v>
      </c>
      <c r="B241" s="162" t="s">
        <v>35</v>
      </c>
      <c r="C241" s="163"/>
      <c r="D241" s="163"/>
      <c r="E241" s="20">
        <f t="shared" si="195"/>
        <v>0</v>
      </c>
      <c r="F241" s="178"/>
      <c r="G241" s="21" t="e">
        <f t="shared" si="196"/>
        <v>#DIV/0!</v>
      </c>
      <c r="H241" s="169"/>
      <c r="I241" s="175"/>
      <c r="J241" s="129">
        <f t="shared" si="197"/>
        <v>0</v>
      </c>
      <c r="K241" s="169">
        <f t="shared" si="198"/>
        <v>0</v>
      </c>
      <c r="L241" s="176" t="e">
        <f t="shared" si="199"/>
        <v>#DIV/0!</v>
      </c>
      <c r="M241" s="177"/>
      <c r="N241" s="172">
        <v>1141000</v>
      </c>
      <c r="O241" s="1"/>
      <c r="P241" s="1"/>
      <c r="Q241" s="1"/>
      <c r="R241" s="1"/>
    </row>
    <row r="242" spans="1:18" x14ac:dyDescent="0.25">
      <c r="A242" s="161">
        <v>46261</v>
      </c>
      <c r="B242" s="162" t="s">
        <v>35</v>
      </c>
      <c r="C242" s="163"/>
      <c r="D242" s="163"/>
      <c r="E242" s="20">
        <f t="shared" si="195"/>
        <v>0</v>
      </c>
      <c r="F242" s="178"/>
      <c r="G242" s="21" t="e">
        <f t="shared" si="196"/>
        <v>#DIV/0!</v>
      </c>
      <c r="H242" s="169"/>
      <c r="I242" s="175"/>
      <c r="J242" s="129">
        <f t="shared" si="197"/>
        <v>0</v>
      </c>
      <c r="K242" s="169">
        <f t="shared" si="198"/>
        <v>0</v>
      </c>
      <c r="L242" s="176" t="e">
        <f t="shared" si="199"/>
        <v>#DIV/0!</v>
      </c>
      <c r="M242" s="177"/>
      <c r="N242" s="172">
        <v>1683000</v>
      </c>
      <c r="O242" s="1"/>
      <c r="P242" s="1"/>
      <c r="Q242" s="1"/>
      <c r="R242" s="1"/>
    </row>
    <row r="243" spans="1:18" x14ac:dyDescent="0.25">
      <c r="A243" s="161">
        <v>46265</v>
      </c>
      <c r="B243" s="162" t="s">
        <v>35</v>
      </c>
      <c r="C243" s="163"/>
      <c r="D243" s="163"/>
      <c r="E243" s="20">
        <f t="shared" si="195"/>
        <v>0</v>
      </c>
      <c r="F243" s="178"/>
      <c r="G243" s="21" t="e">
        <f t="shared" si="196"/>
        <v>#DIV/0!</v>
      </c>
      <c r="H243" s="169"/>
      <c r="I243" s="175"/>
      <c r="J243" s="129">
        <f t="shared" si="197"/>
        <v>0</v>
      </c>
      <c r="K243" s="169">
        <f t="shared" si="198"/>
        <v>0</v>
      </c>
      <c r="L243" s="176" t="e">
        <f t="shared" si="199"/>
        <v>#DIV/0!</v>
      </c>
      <c r="M243" s="177"/>
      <c r="N243" s="172">
        <v>1684000</v>
      </c>
      <c r="O243" s="1"/>
      <c r="P243" s="1"/>
      <c r="Q243" s="1"/>
      <c r="R243" s="1"/>
    </row>
    <row r="244" spans="1:18" ht="16.5" thickBot="1" x14ac:dyDescent="0.3">
      <c r="A244" s="161"/>
      <c r="B244" s="162" t="s">
        <v>35</v>
      </c>
      <c r="C244" s="163"/>
      <c r="D244" s="163"/>
      <c r="E244" s="20">
        <f t="shared" si="195"/>
        <v>0</v>
      </c>
      <c r="F244" s="178"/>
      <c r="G244" s="21" t="e">
        <f t="shared" si="196"/>
        <v>#DIV/0!</v>
      </c>
      <c r="H244" s="163"/>
      <c r="I244" s="166"/>
      <c r="J244" s="180">
        <f t="shared" si="197"/>
        <v>0</v>
      </c>
      <c r="K244" s="169">
        <f t="shared" si="198"/>
        <v>0</v>
      </c>
      <c r="L244" s="176" t="e">
        <f t="shared" si="199"/>
        <v>#DIV/0!</v>
      </c>
      <c r="M244" s="177"/>
      <c r="N244" s="172">
        <f>F244*M244</f>
        <v>0</v>
      </c>
      <c r="O244" s="1"/>
      <c r="P244" s="1"/>
      <c r="Q244" s="1"/>
      <c r="R244" s="1"/>
    </row>
    <row r="245" spans="1:18" ht="16.5" thickBot="1" x14ac:dyDescent="0.3">
      <c r="A245" s="161"/>
      <c r="B245" s="181"/>
      <c r="C245" s="181"/>
      <c r="D245" s="182" t="s">
        <v>17</v>
      </c>
      <c r="E245" s="182">
        <f>SUM(E238:E244)</f>
        <v>0</v>
      </c>
      <c r="F245" s="182"/>
      <c r="G245" s="183" t="e">
        <f>AVERAGE(G238:G244)</f>
        <v>#DIV/0!</v>
      </c>
      <c r="H245" s="181"/>
      <c r="I245" s="184"/>
      <c r="J245" s="182">
        <f t="shared" ref="J245:K245" si="200">SUM(J238:J244)</f>
        <v>0</v>
      </c>
      <c r="K245" s="182">
        <f t="shared" si="200"/>
        <v>0</v>
      </c>
      <c r="L245" s="183" t="e">
        <f>AVERAGE(L238:L244)</f>
        <v>#DIV/0!</v>
      </c>
      <c r="M245" s="181"/>
      <c r="N245" s="149">
        <f>SUM(N238:N244)</f>
        <v>9444000</v>
      </c>
      <c r="O245" s="1"/>
      <c r="P245" s="1"/>
      <c r="Q245" s="1"/>
      <c r="R245" s="1"/>
    </row>
    <row r="246" spans="1:18" ht="16.5" thickBot="1" x14ac:dyDescent="0.3">
      <c r="A246" s="58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6"/>
      <c r="N246" s="187">
        <f>SUM(N2:N245)/2</f>
        <v>244941500</v>
      </c>
      <c r="O246" s="1"/>
      <c r="P246" s="1"/>
      <c r="Q246" s="1"/>
      <c r="R246" s="1">
        <f>Q246</f>
        <v>0</v>
      </c>
    </row>
    <row r="247" spans="1:18" x14ac:dyDescent="0.25">
      <c r="A247" s="58"/>
      <c r="B247" s="1"/>
      <c r="C247" s="1"/>
      <c r="D247" s="1"/>
      <c r="E247" s="1"/>
      <c r="F247" s="1"/>
      <c r="G247" s="188"/>
      <c r="H247" s="1"/>
      <c r="I247" s="1"/>
      <c r="J247" s="1"/>
      <c r="K247" s="1"/>
      <c r="L247" s="188"/>
      <c r="M247" s="1"/>
      <c r="N247" s="189"/>
      <c r="O247" s="1"/>
      <c r="P247" s="1"/>
      <c r="Q247" s="1"/>
      <c r="R247" s="1"/>
    </row>
    <row r="248" spans="1:18" ht="16.5" thickBot="1" x14ac:dyDescent="0.3">
      <c r="A248" s="58"/>
      <c r="B248" s="1"/>
      <c r="C248" s="1"/>
      <c r="D248" s="190" t="s">
        <v>48</v>
      </c>
      <c r="E248" s="1"/>
      <c r="F248" s="1"/>
      <c r="G248" s="188"/>
      <c r="H248" s="1"/>
      <c r="I248" s="1"/>
      <c r="J248" s="1"/>
      <c r="K248" s="1"/>
      <c r="L248" s="188"/>
      <c r="M248" s="1"/>
      <c r="N248" s="189"/>
      <c r="O248" s="1"/>
      <c r="P248" s="1"/>
      <c r="Q248" s="1"/>
      <c r="R248" s="1"/>
    </row>
    <row r="249" spans="1:18" ht="16.5" thickBot="1" x14ac:dyDescent="0.3">
      <c r="A249" s="58"/>
      <c r="B249" s="191" t="s">
        <v>1</v>
      </c>
      <c r="C249" s="186"/>
      <c r="D249" s="186" t="s">
        <v>2</v>
      </c>
      <c r="E249" s="186" t="s">
        <v>3</v>
      </c>
      <c r="F249" s="186"/>
      <c r="G249" s="192" t="s">
        <v>4</v>
      </c>
      <c r="H249" s="193"/>
      <c r="I249" s="194" t="s">
        <v>5</v>
      </c>
      <c r="J249" s="186" t="s">
        <v>3</v>
      </c>
      <c r="K249" s="186" t="s">
        <v>6</v>
      </c>
      <c r="L249" s="192" t="s">
        <v>4</v>
      </c>
      <c r="M249" s="186"/>
      <c r="N249" s="195" t="s">
        <v>7</v>
      </c>
      <c r="O249" s="1">
        <v>1</v>
      </c>
      <c r="P249" s="196" t="s">
        <v>49</v>
      </c>
      <c r="Q249" s="197">
        <f>N255</f>
        <v>19700000</v>
      </c>
      <c r="R249" s="25">
        <f t="shared" ref="R249:R265" si="201">Q249</f>
        <v>19700000</v>
      </c>
    </row>
    <row r="250" spans="1:18" ht="16.5" thickBot="1" x14ac:dyDescent="0.3">
      <c r="A250" s="58">
        <v>46249</v>
      </c>
      <c r="B250" s="198" t="s">
        <v>49</v>
      </c>
      <c r="C250" s="19"/>
      <c r="D250" s="19"/>
      <c r="E250" s="20">
        <f t="shared" ref="E250:E254" si="202">D250-C250</f>
        <v>0</v>
      </c>
      <c r="F250" s="53"/>
      <c r="G250" s="21" t="e">
        <f t="shared" ref="G250:G254" si="203">(F250/E250)*100</f>
        <v>#DIV/0!</v>
      </c>
      <c r="H250" s="138"/>
      <c r="I250" s="138"/>
      <c r="J250" s="52">
        <f t="shared" ref="J250:J254" si="204">I250-H250</f>
        <v>0</v>
      </c>
      <c r="K250" s="53">
        <f t="shared" ref="K250:K254" si="205">F250</f>
        <v>0</v>
      </c>
      <c r="L250" s="55" t="e">
        <f t="shared" ref="L250:L254" si="206">(K250/J250)*100</f>
        <v>#DIV/0!</v>
      </c>
      <c r="M250" s="56"/>
      <c r="N250" s="61">
        <v>9900000</v>
      </c>
      <c r="O250" s="1">
        <v>2</v>
      </c>
      <c r="P250" s="196" t="s">
        <v>50</v>
      </c>
      <c r="Q250" s="197">
        <f>N262</f>
        <v>25849892.899999999</v>
      </c>
      <c r="R250" s="25">
        <f t="shared" si="201"/>
        <v>25849892.899999999</v>
      </c>
    </row>
    <row r="251" spans="1:18" ht="16.5" thickBot="1" x14ac:dyDescent="0.3">
      <c r="A251" s="58">
        <v>46263</v>
      </c>
      <c r="B251" s="199" t="s">
        <v>49</v>
      </c>
      <c r="C251" s="19"/>
      <c r="D251" s="19"/>
      <c r="E251" s="20">
        <f t="shared" si="202"/>
        <v>0</v>
      </c>
      <c r="F251" s="63"/>
      <c r="G251" s="21" t="e">
        <f t="shared" si="203"/>
        <v>#DIV/0!</v>
      </c>
      <c r="H251" s="138"/>
      <c r="I251" s="138"/>
      <c r="J251" s="53">
        <f t="shared" si="204"/>
        <v>0</v>
      </c>
      <c r="K251" s="53">
        <f t="shared" si="205"/>
        <v>0</v>
      </c>
      <c r="L251" s="60" t="e">
        <f t="shared" si="206"/>
        <v>#DIV/0!</v>
      </c>
      <c r="M251" s="56"/>
      <c r="N251" s="61">
        <v>9800000</v>
      </c>
      <c r="O251" s="1">
        <v>3</v>
      </c>
      <c r="P251" s="196" t="s">
        <v>51</v>
      </c>
      <c r="Q251" s="197">
        <f>N268</f>
        <v>11000381.6</v>
      </c>
      <c r="R251" s="25">
        <f t="shared" si="201"/>
        <v>11000381.6</v>
      </c>
    </row>
    <row r="252" spans="1:18" x14ac:dyDescent="0.25">
      <c r="A252" s="58"/>
      <c r="B252" s="199" t="s">
        <v>49</v>
      </c>
      <c r="C252" s="19"/>
      <c r="D252" s="53"/>
      <c r="E252" s="20">
        <f t="shared" si="202"/>
        <v>0</v>
      </c>
      <c r="F252" s="63"/>
      <c r="G252" s="21" t="e">
        <f t="shared" si="203"/>
        <v>#DIV/0!</v>
      </c>
      <c r="H252" s="138"/>
      <c r="I252" s="71">
        <v>424372</v>
      </c>
      <c r="J252" s="53">
        <f t="shared" si="204"/>
        <v>424372</v>
      </c>
      <c r="K252" s="53">
        <f t="shared" si="205"/>
        <v>0</v>
      </c>
      <c r="L252" s="60">
        <f t="shared" si="206"/>
        <v>0</v>
      </c>
      <c r="M252" s="65"/>
      <c r="N252" s="61">
        <f t="shared" ref="N252:N254" si="207">M252*K252</f>
        <v>0</v>
      </c>
      <c r="O252" s="1">
        <v>4</v>
      </c>
      <c r="P252" s="196" t="s">
        <v>52</v>
      </c>
      <c r="Q252" s="197">
        <f>N274</f>
        <v>6000675.1000000006</v>
      </c>
      <c r="R252" s="25">
        <f t="shared" si="201"/>
        <v>6000675.1000000006</v>
      </c>
    </row>
    <row r="253" spans="1:18" x14ac:dyDescent="0.25">
      <c r="A253" s="58"/>
      <c r="B253" s="199" t="s">
        <v>49</v>
      </c>
      <c r="C253" s="53"/>
      <c r="D253" s="53"/>
      <c r="E253" s="20">
        <f t="shared" si="202"/>
        <v>0</v>
      </c>
      <c r="F253" s="63"/>
      <c r="G253" s="21" t="e">
        <f t="shared" si="203"/>
        <v>#DIV/0!</v>
      </c>
      <c r="H253" s="53"/>
      <c r="I253" s="71"/>
      <c r="J253" s="53">
        <f t="shared" si="204"/>
        <v>0</v>
      </c>
      <c r="K253" s="53">
        <f t="shared" si="205"/>
        <v>0</v>
      </c>
      <c r="L253" s="60" t="e">
        <f t="shared" si="206"/>
        <v>#DIV/0!</v>
      </c>
      <c r="M253" s="65"/>
      <c r="N253" s="61">
        <f t="shared" si="207"/>
        <v>0</v>
      </c>
      <c r="O253" s="1">
        <v>5</v>
      </c>
      <c r="P253" s="196" t="s">
        <v>53</v>
      </c>
      <c r="Q253" s="197">
        <f>N280</f>
        <v>11300559.199999999</v>
      </c>
      <c r="R253" s="25">
        <f t="shared" si="201"/>
        <v>11300559.199999999</v>
      </c>
    </row>
    <row r="254" spans="1:18" ht="16.5" thickBot="1" x14ac:dyDescent="0.3">
      <c r="A254" s="58"/>
      <c r="B254" s="199" t="s">
        <v>49</v>
      </c>
      <c r="C254" s="53"/>
      <c r="D254" s="53"/>
      <c r="E254" s="20">
        <f t="shared" si="202"/>
        <v>0</v>
      </c>
      <c r="F254" s="63"/>
      <c r="G254" s="21" t="e">
        <f t="shared" si="203"/>
        <v>#DIV/0!</v>
      </c>
      <c r="H254" s="53"/>
      <c r="I254" s="71"/>
      <c r="J254" s="53">
        <f t="shared" si="204"/>
        <v>0</v>
      </c>
      <c r="K254" s="53">
        <f t="shared" si="205"/>
        <v>0</v>
      </c>
      <c r="L254" s="74" t="e">
        <f t="shared" si="206"/>
        <v>#DIV/0!</v>
      </c>
      <c r="M254" s="65"/>
      <c r="N254" s="61">
        <f t="shared" si="207"/>
        <v>0</v>
      </c>
      <c r="O254" s="1">
        <v>6</v>
      </c>
      <c r="P254" s="196" t="s">
        <v>54</v>
      </c>
      <c r="Q254" s="197">
        <f>N288</f>
        <v>27178206.699999999</v>
      </c>
      <c r="R254" s="25">
        <f t="shared" si="201"/>
        <v>27178206.699999999</v>
      </c>
    </row>
    <row r="255" spans="1:18" ht="16.5" thickBot="1" x14ac:dyDescent="0.3">
      <c r="A255" s="58"/>
      <c r="B255" s="78"/>
      <c r="C255" s="77"/>
      <c r="D255" s="77" t="s">
        <v>17</v>
      </c>
      <c r="E255" s="77">
        <f>SUM(E250:E254)</f>
        <v>0</v>
      </c>
      <c r="F255" s="77"/>
      <c r="G255" s="79" t="e">
        <f>AVERAGE(G250:G254)</f>
        <v>#DIV/0!</v>
      </c>
      <c r="H255" s="77"/>
      <c r="I255" s="80"/>
      <c r="J255" s="77">
        <f t="shared" ref="J255:K255" si="208">SUM(J250:J254)</f>
        <v>424372</v>
      </c>
      <c r="K255" s="77">
        <f t="shared" si="208"/>
        <v>0</v>
      </c>
      <c r="L255" s="79" t="e">
        <f>AVERAGE(L250:L254)</f>
        <v>#DIV/0!</v>
      </c>
      <c r="M255" s="78"/>
      <c r="N255" s="81">
        <f>SUM(N250:N254)</f>
        <v>19700000</v>
      </c>
      <c r="O255" s="1">
        <v>7</v>
      </c>
      <c r="P255" s="200" t="s">
        <v>55</v>
      </c>
      <c r="Q255" s="197">
        <f>N322</f>
        <v>23889572.899999999</v>
      </c>
      <c r="R255" s="25">
        <f t="shared" si="201"/>
        <v>23889572.899999999</v>
      </c>
    </row>
    <row r="256" spans="1:18" x14ac:dyDescent="0.25">
      <c r="A256" s="58">
        <v>46238</v>
      </c>
      <c r="B256" s="201" t="s">
        <v>56</v>
      </c>
      <c r="C256" s="93">
        <v>520429</v>
      </c>
      <c r="D256" s="93">
        <v>521210</v>
      </c>
      <c r="E256" s="20">
        <f t="shared" ref="E256:E261" si="209">D256-C256</f>
        <v>781</v>
      </c>
      <c r="F256" s="59">
        <v>253.44</v>
      </c>
      <c r="G256" s="21">
        <f t="shared" ref="G256:G261" si="210">(F256/E256)*100</f>
        <v>32.450704225352112</v>
      </c>
      <c r="H256" s="137">
        <v>519737</v>
      </c>
      <c r="I256" s="137">
        <v>520489</v>
      </c>
      <c r="J256" s="93">
        <f t="shared" ref="J256:J261" si="211">I256-H256</f>
        <v>752</v>
      </c>
      <c r="K256" s="93">
        <f t="shared" ref="K256:K261" si="212">F256</f>
        <v>253.44</v>
      </c>
      <c r="L256" s="153">
        <f t="shared" ref="L256:L261" si="213">(K256/J256)*100</f>
        <v>33.702127659574465</v>
      </c>
      <c r="M256" s="124">
        <v>27620</v>
      </c>
      <c r="N256" s="57">
        <f t="shared" ref="N256:N259" si="214">F256*M256</f>
        <v>7000012.7999999998</v>
      </c>
      <c r="O256" s="1">
        <v>8</v>
      </c>
      <c r="P256" s="67" t="s">
        <v>57</v>
      </c>
      <c r="Q256" s="197">
        <f>N306</f>
        <v>18700000</v>
      </c>
      <c r="R256" s="25">
        <f t="shared" si="201"/>
        <v>18700000</v>
      </c>
    </row>
    <row r="257" spans="1:18" x14ac:dyDescent="0.25">
      <c r="A257" s="58">
        <v>46245</v>
      </c>
      <c r="B257" s="201" t="s">
        <v>56</v>
      </c>
      <c r="C257" s="93">
        <v>521210</v>
      </c>
      <c r="D257" s="93">
        <v>521904</v>
      </c>
      <c r="E257" s="20">
        <f t="shared" si="209"/>
        <v>694</v>
      </c>
      <c r="F257" s="59">
        <v>228.76</v>
      </c>
      <c r="G257" s="21">
        <f t="shared" si="210"/>
        <v>32.962536023054753</v>
      </c>
      <c r="H257" s="137">
        <v>520489</v>
      </c>
      <c r="I257" s="137">
        <v>521178</v>
      </c>
      <c r="J257" s="93">
        <f t="shared" si="211"/>
        <v>689</v>
      </c>
      <c r="K257" s="93">
        <f t="shared" si="212"/>
        <v>228.76</v>
      </c>
      <c r="L257" s="153">
        <f t="shared" si="213"/>
        <v>33.20174165457184</v>
      </c>
      <c r="M257" s="124">
        <v>27540</v>
      </c>
      <c r="N257" s="61">
        <f t="shared" si="214"/>
        <v>6300050.3999999994</v>
      </c>
      <c r="O257" s="1">
        <v>9</v>
      </c>
      <c r="P257" s="67" t="s">
        <v>58</v>
      </c>
      <c r="Q257" s="197">
        <f>N315</f>
        <v>18290500</v>
      </c>
      <c r="R257" s="25">
        <f t="shared" si="201"/>
        <v>18290500</v>
      </c>
    </row>
    <row r="258" spans="1:18" x14ac:dyDescent="0.25">
      <c r="A258" s="58">
        <v>46254</v>
      </c>
      <c r="B258" s="201" t="s">
        <v>56</v>
      </c>
      <c r="C258" s="93">
        <v>521904</v>
      </c>
      <c r="D258" s="93">
        <v>522561</v>
      </c>
      <c r="E258" s="20">
        <f t="shared" si="209"/>
        <v>657</v>
      </c>
      <c r="F258" s="59">
        <v>216.67</v>
      </c>
      <c r="G258" s="21">
        <f t="shared" si="210"/>
        <v>32.978691019786908</v>
      </c>
      <c r="H258" s="137">
        <v>521178</v>
      </c>
      <c r="I258" s="137">
        <v>521838</v>
      </c>
      <c r="J258" s="93">
        <f t="shared" si="211"/>
        <v>660</v>
      </c>
      <c r="K258" s="93">
        <f t="shared" si="212"/>
        <v>216.67</v>
      </c>
      <c r="L258" s="153">
        <f t="shared" si="213"/>
        <v>32.828787878787878</v>
      </c>
      <c r="M258" s="124">
        <v>27230</v>
      </c>
      <c r="N258" s="61">
        <f t="shared" si="214"/>
        <v>5899924.0999999996</v>
      </c>
      <c r="O258" s="1">
        <v>10</v>
      </c>
      <c r="P258" s="202" t="s">
        <v>59</v>
      </c>
      <c r="Q258" s="197">
        <f>N297</f>
        <v>28000000</v>
      </c>
      <c r="R258" s="25">
        <f t="shared" si="201"/>
        <v>28000000</v>
      </c>
    </row>
    <row r="259" spans="1:18" x14ac:dyDescent="0.25">
      <c r="A259" s="58">
        <v>46262</v>
      </c>
      <c r="B259" s="201" t="s">
        <v>56</v>
      </c>
      <c r="C259" s="93">
        <v>522561</v>
      </c>
      <c r="D259" s="93">
        <v>523293</v>
      </c>
      <c r="E259" s="20">
        <f t="shared" si="209"/>
        <v>732</v>
      </c>
      <c r="F259" s="59">
        <v>236.82</v>
      </c>
      <c r="G259" s="21">
        <f t="shared" si="210"/>
        <v>32.352459016393439</v>
      </c>
      <c r="H259" s="137">
        <v>521838</v>
      </c>
      <c r="I259" s="137">
        <v>522527</v>
      </c>
      <c r="J259" s="93">
        <f t="shared" si="211"/>
        <v>689</v>
      </c>
      <c r="K259" s="93">
        <f t="shared" si="212"/>
        <v>236.82</v>
      </c>
      <c r="L259" s="153">
        <f t="shared" si="213"/>
        <v>34.371552975326559</v>
      </c>
      <c r="M259" s="124">
        <v>28080</v>
      </c>
      <c r="N259" s="61">
        <f t="shared" si="214"/>
        <v>6649905.5999999996</v>
      </c>
      <c r="O259" s="1">
        <v>11</v>
      </c>
      <c r="P259" s="203" t="s">
        <v>60</v>
      </c>
      <c r="Q259" s="204">
        <f>N331</f>
        <v>20901334.5</v>
      </c>
      <c r="R259" s="25">
        <f t="shared" si="201"/>
        <v>20901334.5</v>
      </c>
    </row>
    <row r="260" spans="1:18" x14ac:dyDescent="0.25">
      <c r="A260" s="58"/>
      <c r="B260" s="201" t="s">
        <v>56</v>
      </c>
      <c r="C260" s="93"/>
      <c r="D260" s="93"/>
      <c r="E260" s="20">
        <f t="shared" si="209"/>
        <v>0</v>
      </c>
      <c r="F260" s="59"/>
      <c r="G260" s="21" t="e">
        <f t="shared" si="210"/>
        <v>#DIV/0!</v>
      </c>
      <c r="H260" s="137"/>
      <c r="I260" s="137"/>
      <c r="J260" s="93">
        <f t="shared" si="211"/>
        <v>0</v>
      </c>
      <c r="K260" s="93">
        <f t="shared" si="212"/>
        <v>0</v>
      </c>
      <c r="L260" s="153" t="e">
        <f t="shared" si="213"/>
        <v>#DIV/0!</v>
      </c>
      <c r="M260" s="124"/>
      <c r="N260" s="61">
        <f t="shared" ref="N260:N261" si="215">M260*K260</f>
        <v>0</v>
      </c>
      <c r="O260" s="1">
        <v>12</v>
      </c>
      <c r="P260" s="203" t="s">
        <v>61</v>
      </c>
      <c r="Q260" s="204">
        <f>N341</f>
        <v>22561139.199999999</v>
      </c>
      <c r="R260" s="25">
        <f t="shared" si="201"/>
        <v>22561139.199999999</v>
      </c>
    </row>
    <row r="261" spans="1:18" ht="16.5" thickBot="1" x14ac:dyDescent="0.3">
      <c r="A261" s="58"/>
      <c r="B261" s="201" t="s">
        <v>56</v>
      </c>
      <c r="C261" s="93"/>
      <c r="D261" s="93"/>
      <c r="E261" s="20">
        <f t="shared" si="209"/>
        <v>0</v>
      </c>
      <c r="F261" s="59"/>
      <c r="G261" s="21" t="e">
        <f t="shared" si="210"/>
        <v>#DIV/0!</v>
      </c>
      <c r="H261" s="137"/>
      <c r="I261" s="137"/>
      <c r="J261" s="93">
        <f t="shared" si="211"/>
        <v>0</v>
      </c>
      <c r="K261" s="93">
        <f t="shared" si="212"/>
        <v>0</v>
      </c>
      <c r="L261" s="153" t="e">
        <f t="shared" si="213"/>
        <v>#DIV/0!</v>
      </c>
      <c r="M261" s="124"/>
      <c r="N261" s="61">
        <f t="shared" si="215"/>
        <v>0</v>
      </c>
      <c r="O261" s="1">
        <v>13</v>
      </c>
      <c r="P261" s="205" t="s">
        <v>62</v>
      </c>
      <c r="Q261" s="204">
        <f>N348</f>
        <v>8500000</v>
      </c>
      <c r="R261" s="25">
        <f t="shared" si="201"/>
        <v>8500000</v>
      </c>
    </row>
    <row r="262" spans="1:18" ht="16.5" thickBot="1" x14ac:dyDescent="0.3">
      <c r="A262" s="58"/>
      <c r="B262" s="78"/>
      <c r="C262" s="77"/>
      <c r="D262" s="77" t="s">
        <v>17</v>
      </c>
      <c r="E262" s="77">
        <f>SUM(E256:E260)</f>
        <v>2864</v>
      </c>
      <c r="F262" s="77"/>
      <c r="G262" s="79" t="e">
        <f>AVERAGE(G256:G260)</f>
        <v>#DIV/0!</v>
      </c>
      <c r="H262" s="77"/>
      <c r="I262" s="80"/>
      <c r="J262" s="77">
        <f t="shared" ref="J262:K262" si="216">SUM(J256:J260)</f>
        <v>2790</v>
      </c>
      <c r="K262" s="77">
        <f t="shared" si="216"/>
        <v>935.69</v>
      </c>
      <c r="L262" s="79" t="e">
        <f>AVERAGE(L256:L260)</f>
        <v>#DIV/0!</v>
      </c>
      <c r="M262" s="78"/>
      <c r="N262" s="81">
        <f>SUM(N256:N261)</f>
        <v>25849892.899999999</v>
      </c>
      <c r="O262" s="1">
        <v>14</v>
      </c>
      <c r="P262" s="196" t="s">
        <v>63</v>
      </c>
      <c r="Q262" s="25">
        <f>N374</f>
        <v>32616988.399999999</v>
      </c>
      <c r="R262" s="25">
        <f t="shared" si="201"/>
        <v>32616988.399999999</v>
      </c>
    </row>
    <row r="263" spans="1:18" ht="16.5" thickBot="1" x14ac:dyDescent="0.3">
      <c r="A263" s="58">
        <v>46241</v>
      </c>
      <c r="B263" s="201" t="s">
        <v>51</v>
      </c>
      <c r="C263" s="19"/>
      <c r="D263" s="19"/>
      <c r="E263" s="82">
        <f t="shared" ref="E263:E267" si="217">D263-C263</f>
        <v>0</v>
      </c>
      <c r="F263" s="59">
        <v>217.86</v>
      </c>
      <c r="G263" s="21" t="e">
        <f t="shared" ref="G263:G267" si="218">(F263/E263)*100</f>
        <v>#DIV/0!</v>
      </c>
      <c r="H263" s="137">
        <v>9745</v>
      </c>
      <c r="I263" s="138">
        <v>10071</v>
      </c>
      <c r="J263" s="52">
        <f t="shared" ref="J263:J267" si="219">I263-H263</f>
        <v>326</v>
      </c>
      <c r="K263" s="52"/>
      <c r="L263" s="153">
        <f t="shared" ref="L263:L267" si="220">(K263/J263)*100</f>
        <v>0</v>
      </c>
      <c r="M263" s="56">
        <v>27540</v>
      </c>
      <c r="N263" s="130">
        <f t="shared" ref="N263:N267" si="221">F263*M263</f>
        <v>5999864.4000000004</v>
      </c>
      <c r="O263" s="1">
        <v>15</v>
      </c>
      <c r="P263" s="196" t="s">
        <v>64</v>
      </c>
      <c r="Q263" s="25">
        <f>N381</f>
        <v>11750156.399999999</v>
      </c>
      <c r="R263" s="25">
        <f t="shared" si="201"/>
        <v>11750156.399999999</v>
      </c>
    </row>
    <row r="264" spans="1:18" x14ac:dyDescent="0.25">
      <c r="A264" s="58">
        <v>46254</v>
      </c>
      <c r="B264" s="201" t="s">
        <v>51</v>
      </c>
      <c r="C264" s="19"/>
      <c r="D264" s="19"/>
      <c r="E264" s="20">
        <f t="shared" si="217"/>
        <v>0</v>
      </c>
      <c r="F264" s="59">
        <v>183.64</v>
      </c>
      <c r="G264" s="21" t="e">
        <f t="shared" si="218"/>
        <v>#DIV/0!</v>
      </c>
      <c r="H264" s="138">
        <v>10071</v>
      </c>
      <c r="I264" s="137">
        <v>10374</v>
      </c>
      <c r="J264" s="93">
        <f t="shared" si="219"/>
        <v>303</v>
      </c>
      <c r="K264" s="53"/>
      <c r="L264" s="153">
        <f t="shared" si="220"/>
        <v>0</v>
      </c>
      <c r="M264" s="124">
        <v>27230</v>
      </c>
      <c r="N264" s="130">
        <f t="shared" si="221"/>
        <v>5000517.1999999993</v>
      </c>
      <c r="O264" s="1">
        <v>16</v>
      </c>
      <c r="P264" s="205" t="s">
        <v>65</v>
      </c>
      <c r="Q264" s="25">
        <f>N356</f>
        <v>33224000</v>
      </c>
      <c r="R264" s="25">
        <f t="shared" si="201"/>
        <v>33224000</v>
      </c>
    </row>
    <row r="265" spans="1:18" x14ac:dyDescent="0.25">
      <c r="A265" s="58"/>
      <c r="B265" s="201" t="s">
        <v>51</v>
      </c>
      <c r="C265" s="93"/>
      <c r="D265" s="93"/>
      <c r="E265" s="20">
        <f t="shared" si="217"/>
        <v>0</v>
      </c>
      <c r="F265" s="59"/>
      <c r="G265" s="21" t="e">
        <f t="shared" si="218"/>
        <v>#DIV/0!</v>
      </c>
      <c r="H265" s="137"/>
      <c r="I265" s="137"/>
      <c r="J265" s="93">
        <f t="shared" si="219"/>
        <v>0</v>
      </c>
      <c r="K265" s="53"/>
      <c r="L265" s="153" t="e">
        <f t="shared" si="220"/>
        <v>#DIV/0!</v>
      </c>
      <c r="M265" s="124"/>
      <c r="N265" s="130">
        <f t="shared" si="221"/>
        <v>0</v>
      </c>
      <c r="O265" s="1">
        <v>17</v>
      </c>
      <c r="P265" s="205" t="s">
        <v>66</v>
      </c>
      <c r="Q265" s="25">
        <f>N364</f>
        <v>21000000</v>
      </c>
      <c r="R265" s="25">
        <f t="shared" si="201"/>
        <v>21000000</v>
      </c>
    </row>
    <row r="266" spans="1:18" x14ac:dyDescent="0.25">
      <c r="A266" s="58"/>
      <c r="B266" s="201" t="s">
        <v>51</v>
      </c>
      <c r="C266" s="93"/>
      <c r="D266" s="93"/>
      <c r="E266" s="20">
        <f t="shared" si="217"/>
        <v>0</v>
      </c>
      <c r="F266" s="59"/>
      <c r="G266" s="21" t="e">
        <f t="shared" si="218"/>
        <v>#DIV/0!</v>
      </c>
      <c r="H266" s="93"/>
      <c r="I266" s="137"/>
      <c r="J266" s="93">
        <f t="shared" si="219"/>
        <v>0</v>
      </c>
      <c r="K266" s="53"/>
      <c r="L266" s="153" t="e">
        <f t="shared" si="220"/>
        <v>#DIV/0!</v>
      </c>
      <c r="M266" s="124"/>
      <c r="N266" s="130">
        <f t="shared" si="221"/>
        <v>0</v>
      </c>
      <c r="O266" s="1"/>
      <c r="P266" s="206" t="s">
        <v>17</v>
      </c>
      <c r="Q266" s="84">
        <f>SUM(Q249:Q265)</f>
        <v>340463406.89999998</v>
      </c>
      <c r="R266" s="1"/>
    </row>
    <row r="267" spans="1:18" ht="16.5" thickBot="1" x14ac:dyDescent="0.3">
      <c r="A267" s="58"/>
      <c r="B267" s="201" t="s">
        <v>51</v>
      </c>
      <c r="C267" s="93"/>
      <c r="D267" s="93"/>
      <c r="E267" s="20">
        <f t="shared" si="217"/>
        <v>0</v>
      </c>
      <c r="F267" s="59"/>
      <c r="G267" s="21" t="e">
        <f t="shared" si="218"/>
        <v>#DIV/0!</v>
      </c>
      <c r="H267" s="93"/>
      <c r="I267" s="137"/>
      <c r="J267" s="93">
        <f t="shared" si="219"/>
        <v>0</v>
      </c>
      <c r="K267" s="53"/>
      <c r="L267" s="153" t="e">
        <f t="shared" si="220"/>
        <v>#DIV/0!</v>
      </c>
      <c r="M267" s="124"/>
      <c r="N267" s="130">
        <f t="shared" si="221"/>
        <v>0</v>
      </c>
      <c r="O267" s="1"/>
      <c r="P267" s="1"/>
      <c r="Q267" s="1"/>
      <c r="R267" s="1"/>
    </row>
    <row r="268" spans="1:18" ht="16.5" thickBot="1" x14ac:dyDescent="0.3">
      <c r="A268" s="58"/>
      <c r="B268" s="78"/>
      <c r="C268" s="77"/>
      <c r="D268" s="77" t="s">
        <v>17</v>
      </c>
      <c r="E268" s="77">
        <f>SUM(E263:E267)</f>
        <v>0</v>
      </c>
      <c r="F268" s="77"/>
      <c r="G268" s="79" t="e">
        <f>AVERAGE(G263:G267)</f>
        <v>#DIV/0!</v>
      </c>
      <c r="H268" s="77"/>
      <c r="I268" s="80"/>
      <c r="J268" s="77">
        <f t="shared" ref="J268:K268" si="222">SUM(J263:J267)</f>
        <v>629</v>
      </c>
      <c r="K268" s="77">
        <f t="shared" si="222"/>
        <v>0</v>
      </c>
      <c r="L268" s="79" t="e">
        <f>AVERAGE(L263:L267)</f>
        <v>#DIV/0!</v>
      </c>
      <c r="M268" s="78"/>
      <c r="N268" s="81">
        <f>SUM(N263:N267)</f>
        <v>11000381.6</v>
      </c>
      <c r="O268" s="1"/>
      <c r="P268" s="1"/>
      <c r="Q268" s="1"/>
      <c r="R268" s="1"/>
    </row>
    <row r="269" spans="1:18" x14ac:dyDescent="0.25">
      <c r="A269" s="58">
        <v>46254</v>
      </c>
      <c r="B269" s="156" t="s">
        <v>52</v>
      </c>
      <c r="C269" s="93"/>
      <c r="D269" s="19"/>
      <c r="E269" s="82">
        <f t="shared" ref="E269:E273" si="223">D269-C269</f>
        <v>0</v>
      </c>
      <c r="F269" s="54">
        <v>220.37</v>
      </c>
      <c r="G269" s="21" t="e">
        <f t="shared" ref="G269:G273" si="224">(F269/E269)*100</f>
        <v>#DIV/0!</v>
      </c>
      <c r="H269" s="93"/>
      <c r="I269" s="138"/>
      <c r="J269" s="52">
        <f t="shared" ref="J269:J273" si="225">I269-H269</f>
        <v>0</v>
      </c>
      <c r="K269" s="52">
        <f t="shared" ref="K269:K273" si="226">F269</f>
        <v>220.37</v>
      </c>
      <c r="L269" s="60" t="e">
        <f t="shared" ref="L269:L273" si="227">(K269/J269)*100</f>
        <v>#DIV/0!</v>
      </c>
      <c r="M269" s="56">
        <v>27230</v>
      </c>
      <c r="N269" s="130">
        <f t="shared" ref="N269:N272" si="228">M269*K269</f>
        <v>6000675.1000000006</v>
      </c>
      <c r="O269" s="1"/>
      <c r="P269" s="1"/>
      <c r="Q269" s="1"/>
      <c r="R269" s="1"/>
    </row>
    <row r="270" spans="1:18" x14ac:dyDescent="0.25">
      <c r="A270" s="58"/>
      <c r="B270" s="156" t="s">
        <v>52</v>
      </c>
      <c r="C270" s="19"/>
      <c r="D270" s="93"/>
      <c r="E270" s="20">
        <f t="shared" si="223"/>
        <v>0</v>
      </c>
      <c r="F270" s="59"/>
      <c r="G270" s="21" t="e">
        <f t="shared" si="224"/>
        <v>#DIV/0!</v>
      </c>
      <c r="H270" s="93"/>
      <c r="I270" s="137"/>
      <c r="J270" s="93">
        <f t="shared" si="225"/>
        <v>0</v>
      </c>
      <c r="K270" s="93">
        <f t="shared" si="226"/>
        <v>0</v>
      </c>
      <c r="L270" s="153" t="e">
        <f t="shared" si="227"/>
        <v>#DIV/0!</v>
      </c>
      <c r="M270" s="124"/>
      <c r="N270" s="130">
        <f t="shared" si="228"/>
        <v>0</v>
      </c>
      <c r="O270" s="1"/>
      <c r="P270" s="1"/>
      <c r="Q270" s="1"/>
      <c r="R270" s="1"/>
    </row>
    <row r="271" spans="1:18" x14ac:dyDescent="0.25">
      <c r="A271" s="58"/>
      <c r="B271" s="156" t="s">
        <v>52</v>
      </c>
      <c r="C271" s="93"/>
      <c r="D271" s="93"/>
      <c r="E271" s="20">
        <f t="shared" si="223"/>
        <v>0</v>
      </c>
      <c r="F271" s="59"/>
      <c r="G271" s="21" t="e">
        <f t="shared" si="224"/>
        <v>#DIV/0!</v>
      </c>
      <c r="H271" s="93"/>
      <c r="I271" s="137"/>
      <c r="J271" s="93">
        <f t="shared" si="225"/>
        <v>0</v>
      </c>
      <c r="K271" s="93">
        <f t="shared" si="226"/>
        <v>0</v>
      </c>
      <c r="L271" s="153" t="e">
        <f t="shared" si="227"/>
        <v>#DIV/0!</v>
      </c>
      <c r="M271" s="124"/>
      <c r="N271" s="130">
        <f t="shared" si="228"/>
        <v>0</v>
      </c>
      <c r="O271" s="1"/>
      <c r="P271" s="1"/>
      <c r="Q271" s="1"/>
      <c r="R271" s="1"/>
    </row>
    <row r="272" spans="1:18" x14ac:dyDescent="0.25">
      <c r="A272" s="58"/>
      <c r="B272" s="156" t="s">
        <v>52</v>
      </c>
      <c r="C272" s="93"/>
      <c r="D272" s="93"/>
      <c r="E272" s="20">
        <f t="shared" si="223"/>
        <v>0</v>
      </c>
      <c r="F272" s="59"/>
      <c r="G272" s="21" t="e">
        <f t="shared" si="224"/>
        <v>#DIV/0!</v>
      </c>
      <c r="H272" s="93"/>
      <c r="I272" s="137"/>
      <c r="J272" s="93">
        <f t="shared" si="225"/>
        <v>0</v>
      </c>
      <c r="K272" s="93">
        <f t="shared" si="226"/>
        <v>0</v>
      </c>
      <c r="L272" s="153" t="e">
        <f t="shared" si="227"/>
        <v>#DIV/0!</v>
      </c>
      <c r="M272" s="124"/>
      <c r="N272" s="130">
        <f t="shared" si="228"/>
        <v>0</v>
      </c>
      <c r="O272" s="1"/>
      <c r="P272" s="1"/>
      <c r="Q272" s="1"/>
      <c r="R272" s="1"/>
    </row>
    <row r="273" spans="1:18" ht="16.5" thickBot="1" x14ac:dyDescent="0.3">
      <c r="A273" s="58"/>
      <c r="B273" s="156" t="s">
        <v>52</v>
      </c>
      <c r="C273" s="93"/>
      <c r="D273" s="93"/>
      <c r="E273" s="20">
        <f t="shared" si="223"/>
        <v>0</v>
      </c>
      <c r="F273" s="59"/>
      <c r="G273" s="21" t="e">
        <f t="shared" si="224"/>
        <v>#DIV/0!</v>
      </c>
      <c r="H273" s="93"/>
      <c r="I273" s="137"/>
      <c r="J273" s="93">
        <f t="shared" si="225"/>
        <v>0</v>
      </c>
      <c r="K273" s="93">
        <f t="shared" si="226"/>
        <v>0</v>
      </c>
      <c r="L273" s="153" t="e">
        <f t="shared" si="227"/>
        <v>#DIV/0!</v>
      </c>
      <c r="M273" s="124"/>
      <c r="N273" s="130">
        <f>F273*M273</f>
        <v>0</v>
      </c>
      <c r="O273" s="1"/>
      <c r="P273" s="1"/>
      <c r="Q273" s="1"/>
      <c r="R273" s="1"/>
    </row>
    <row r="274" spans="1:18" ht="16.5" thickBot="1" x14ac:dyDescent="0.3">
      <c r="A274" s="58"/>
      <c r="B274" s="78"/>
      <c r="C274" s="77"/>
      <c r="D274" s="77" t="s">
        <v>17</v>
      </c>
      <c r="E274" s="77">
        <f>SUM(E269:E273)</f>
        <v>0</v>
      </c>
      <c r="F274" s="77"/>
      <c r="G274" s="79" t="e">
        <f>AVERAGE(G269:G273)</f>
        <v>#DIV/0!</v>
      </c>
      <c r="H274" s="77"/>
      <c r="I274" s="80"/>
      <c r="J274" s="77">
        <f t="shared" ref="J274:K274" si="229">SUM(J269:J273)</f>
        <v>0</v>
      </c>
      <c r="K274" s="77">
        <f t="shared" si="229"/>
        <v>220.37</v>
      </c>
      <c r="L274" s="79" t="e">
        <f>AVERAGE(L269:L273)</f>
        <v>#DIV/0!</v>
      </c>
      <c r="M274" s="78"/>
      <c r="N274" s="81">
        <f>SUM(N269:N273)</f>
        <v>6000675.1000000006</v>
      </c>
      <c r="O274" s="1"/>
      <c r="P274" s="1"/>
      <c r="Q274" s="1"/>
      <c r="R274" s="1"/>
    </row>
    <row r="275" spans="1:18" x14ac:dyDescent="0.25">
      <c r="A275" s="58">
        <v>46246</v>
      </c>
      <c r="B275" s="156" t="s">
        <v>53</v>
      </c>
      <c r="C275" s="93"/>
      <c r="D275" s="19"/>
      <c r="E275" s="82"/>
      <c r="F275" s="54">
        <v>243.3</v>
      </c>
      <c r="G275" s="21" t="e">
        <f t="shared" ref="G275:G279" si="230">(F275/E275)*100</f>
        <v>#DIV/0!</v>
      </c>
      <c r="H275" s="93"/>
      <c r="I275" s="138"/>
      <c r="J275" s="93">
        <f t="shared" ref="J275:J279" si="231">I275-H275</f>
        <v>0</v>
      </c>
      <c r="K275" s="93">
        <f t="shared" ref="K275:K279" si="232">F275</f>
        <v>243.3</v>
      </c>
      <c r="L275" s="153" t="e">
        <f t="shared" ref="L275:L279" si="233">(K275/J275)*100</f>
        <v>#DIV/0!</v>
      </c>
      <c r="M275" s="56">
        <v>27540</v>
      </c>
      <c r="N275" s="61">
        <f>F275*M275</f>
        <v>6700482</v>
      </c>
      <c r="O275" s="1"/>
      <c r="P275" s="1"/>
      <c r="Q275" s="1"/>
      <c r="R275" s="1"/>
    </row>
    <row r="276" spans="1:18" x14ac:dyDescent="0.25">
      <c r="A276" s="58">
        <v>46257</v>
      </c>
      <c r="B276" s="156" t="s">
        <v>53</v>
      </c>
      <c r="C276" s="93"/>
      <c r="D276" s="93"/>
      <c r="E276" s="20">
        <f t="shared" ref="E276:E279" si="234">D276-C276</f>
        <v>0</v>
      </c>
      <c r="F276" s="59">
        <v>161.18</v>
      </c>
      <c r="G276" s="21" t="e">
        <f t="shared" si="230"/>
        <v>#DIV/0!</v>
      </c>
      <c r="H276" s="93"/>
      <c r="I276" s="137"/>
      <c r="J276" s="93">
        <f t="shared" si="231"/>
        <v>0</v>
      </c>
      <c r="K276" s="93">
        <f t="shared" si="232"/>
        <v>161.18</v>
      </c>
      <c r="L276" s="153" t="e">
        <f t="shared" si="233"/>
        <v>#DIV/0!</v>
      </c>
      <c r="M276" s="124">
        <v>28540</v>
      </c>
      <c r="N276" s="61">
        <f>M276*K276</f>
        <v>4600077.2</v>
      </c>
      <c r="O276" s="1"/>
      <c r="P276" s="1"/>
      <c r="Q276" s="1"/>
      <c r="R276" s="1"/>
    </row>
    <row r="277" spans="1:18" x14ac:dyDescent="0.25">
      <c r="A277" s="58"/>
      <c r="B277" s="156" t="s">
        <v>53</v>
      </c>
      <c r="C277" s="93"/>
      <c r="D277" s="93"/>
      <c r="E277" s="20">
        <f t="shared" si="234"/>
        <v>0</v>
      </c>
      <c r="F277" s="59"/>
      <c r="G277" s="21" t="e">
        <f t="shared" si="230"/>
        <v>#DIV/0!</v>
      </c>
      <c r="H277" s="93"/>
      <c r="I277" s="137"/>
      <c r="J277" s="93">
        <f t="shared" si="231"/>
        <v>0</v>
      </c>
      <c r="K277" s="93">
        <f t="shared" si="232"/>
        <v>0</v>
      </c>
      <c r="L277" s="153" t="e">
        <f t="shared" si="233"/>
        <v>#DIV/0!</v>
      </c>
      <c r="M277" s="124"/>
      <c r="N277" s="61">
        <f t="shared" ref="N277:N279" si="235">F277*M277</f>
        <v>0</v>
      </c>
      <c r="O277" s="1"/>
      <c r="P277" s="1"/>
      <c r="Q277" s="1"/>
      <c r="R277" s="1"/>
    </row>
    <row r="278" spans="1:18" x14ac:dyDescent="0.25">
      <c r="A278" s="58"/>
      <c r="B278" s="156" t="s">
        <v>53</v>
      </c>
      <c r="C278" s="93"/>
      <c r="D278" s="93"/>
      <c r="E278" s="20">
        <f t="shared" si="234"/>
        <v>0</v>
      </c>
      <c r="F278" s="59"/>
      <c r="G278" s="21" t="e">
        <f t="shared" si="230"/>
        <v>#DIV/0!</v>
      </c>
      <c r="H278" s="93"/>
      <c r="I278" s="137"/>
      <c r="J278" s="93">
        <f t="shared" si="231"/>
        <v>0</v>
      </c>
      <c r="K278" s="93">
        <f t="shared" si="232"/>
        <v>0</v>
      </c>
      <c r="L278" s="153" t="e">
        <f t="shared" si="233"/>
        <v>#DIV/0!</v>
      </c>
      <c r="M278" s="124"/>
      <c r="N278" s="61">
        <f t="shared" si="235"/>
        <v>0</v>
      </c>
      <c r="O278" s="1"/>
      <c r="P278" s="1"/>
      <c r="Q278" s="1"/>
      <c r="R278" s="1"/>
    </row>
    <row r="279" spans="1:18" ht="16.5" thickBot="1" x14ac:dyDescent="0.3">
      <c r="A279" s="58"/>
      <c r="B279" s="156" t="s">
        <v>53</v>
      </c>
      <c r="C279" s="93"/>
      <c r="D279" s="93"/>
      <c r="E279" s="20">
        <f t="shared" si="234"/>
        <v>0</v>
      </c>
      <c r="F279" s="59"/>
      <c r="G279" s="21" t="e">
        <f t="shared" si="230"/>
        <v>#DIV/0!</v>
      </c>
      <c r="H279" s="93"/>
      <c r="I279" s="137"/>
      <c r="J279" s="93">
        <f t="shared" si="231"/>
        <v>0</v>
      </c>
      <c r="K279" s="93">
        <f t="shared" si="232"/>
        <v>0</v>
      </c>
      <c r="L279" s="153" t="e">
        <f t="shared" si="233"/>
        <v>#DIV/0!</v>
      </c>
      <c r="M279" s="124"/>
      <c r="N279" s="61">
        <f t="shared" si="235"/>
        <v>0</v>
      </c>
      <c r="O279" s="1"/>
      <c r="P279" s="1"/>
      <c r="Q279" s="1"/>
      <c r="R279" s="1"/>
    </row>
    <row r="280" spans="1:18" ht="16.5" thickBot="1" x14ac:dyDescent="0.3">
      <c r="A280" s="58"/>
      <c r="B280" s="78"/>
      <c r="C280" s="77"/>
      <c r="D280" s="77" t="s">
        <v>17</v>
      </c>
      <c r="E280" s="77">
        <f>SUM(E275:E279)</f>
        <v>0</v>
      </c>
      <c r="F280" s="77"/>
      <c r="G280" s="79" t="e">
        <f>AVERAGE(G275:G279)</f>
        <v>#DIV/0!</v>
      </c>
      <c r="H280" s="77"/>
      <c r="I280" s="80"/>
      <c r="J280" s="77">
        <f t="shared" ref="J280:K280" si="236">SUM(J275:J279)</f>
        <v>0</v>
      </c>
      <c r="K280" s="77">
        <f t="shared" si="236"/>
        <v>404.48</v>
      </c>
      <c r="L280" s="79" t="e">
        <f>AVERAGE(L275:L279)</f>
        <v>#DIV/0!</v>
      </c>
      <c r="M280" s="78"/>
      <c r="N280" s="81">
        <f>SUM(N275:N279)</f>
        <v>11300559.199999999</v>
      </c>
      <c r="O280" s="1"/>
      <c r="P280" s="1"/>
      <c r="Q280" s="1"/>
      <c r="R280" s="1"/>
    </row>
    <row r="281" spans="1:18" x14ac:dyDescent="0.25">
      <c r="A281" s="58">
        <v>46237</v>
      </c>
      <c r="B281" s="201" t="s">
        <v>54</v>
      </c>
      <c r="C281" s="59">
        <v>316477</v>
      </c>
      <c r="D281" s="93">
        <v>316935</v>
      </c>
      <c r="E281" s="20">
        <f t="shared" ref="E281:E287" si="237">D281-C281</f>
        <v>458</v>
      </c>
      <c r="F281" s="54">
        <v>144.82</v>
      </c>
      <c r="G281" s="21">
        <f t="shared" ref="G281:G287" si="238">(F281/E281)*100</f>
        <v>31.620087336244541</v>
      </c>
      <c r="H281" s="137">
        <v>30310</v>
      </c>
      <c r="I281" s="137">
        <v>30583</v>
      </c>
      <c r="J281" s="52">
        <f t="shared" ref="J281:J287" si="239">I281-H281</f>
        <v>273</v>
      </c>
      <c r="K281" s="52">
        <f t="shared" ref="K281:K287" si="240">F281</f>
        <v>144.82</v>
      </c>
      <c r="L281" s="153">
        <f t="shared" ref="L281:L287" si="241">(K281/J281)*100</f>
        <v>53.047619047619044</v>
      </c>
      <c r="M281" s="56">
        <v>27620</v>
      </c>
      <c r="N281" s="61">
        <f t="shared" ref="N281:N284" si="242">F281*M281</f>
        <v>3999928.4</v>
      </c>
      <c r="O281" s="1"/>
      <c r="P281" s="1"/>
      <c r="Q281" s="1"/>
      <c r="R281" s="1"/>
    </row>
    <row r="282" spans="1:18" x14ac:dyDescent="0.25">
      <c r="A282" s="58">
        <v>46244</v>
      </c>
      <c r="B282" s="201" t="s">
        <v>54</v>
      </c>
      <c r="C282" s="93">
        <v>316935</v>
      </c>
      <c r="D282" s="93">
        <v>317353</v>
      </c>
      <c r="E282" s="20">
        <f t="shared" si="237"/>
        <v>418</v>
      </c>
      <c r="F282" s="59">
        <v>139.07</v>
      </c>
      <c r="G282" s="21">
        <f t="shared" si="238"/>
        <v>33.270334928229659</v>
      </c>
      <c r="H282" s="137">
        <v>30583</v>
      </c>
      <c r="I282" s="93">
        <v>30993</v>
      </c>
      <c r="J282" s="93">
        <f t="shared" si="239"/>
        <v>410</v>
      </c>
      <c r="K282" s="93">
        <f t="shared" si="240"/>
        <v>139.07</v>
      </c>
      <c r="L282" s="153">
        <f t="shared" si="241"/>
        <v>33.919512195121946</v>
      </c>
      <c r="M282" s="124">
        <v>27540</v>
      </c>
      <c r="N282" s="61">
        <f t="shared" si="242"/>
        <v>3829987.8</v>
      </c>
      <c r="O282" s="1"/>
      <c r="P282" s="1"/>
      <c r="Q282" s="1"/>
      <c r="R282" s="1"/>
    </row>
    <row r="283" spans="1:18" x14ac:dyDescent="0.25">
      <c r="A283" s="58">
        <v>46246</v>
      </c>
      <c r="B283" s="201" t="s">
        <v>54</v>
      </c>
      <c r="C283" s="93">
        <v>317353</v>
      </c>
      <c r="D283" s="93">
        <v>317737</v>
      </c>
      <c r="E283" s="20">
        <f t="shared" si="237"/>
        <v>384</v>
      </c>
      <c r="F283" s="59">
        <v>122.73</v>
      </c>
      <c r="G283" s="21">
        <f t="shared" si="238"/>
        <v>31.960937500000004</v>
      </c>
      <c r="H283" s="93">
        <v>30993</v>
      </c>
      <c r="I283" s="137">
        <v>31323</v>
      </c>
      <c r="J283" s="93">
        <f t="shared" si="239"/>
        <v>330</v>
      </c>
      <c r="K283" s="93">
        <f t="shared" si="240"/>
        <v>122.73</v>
      </c>
      <c r="L283" s="153">
        <f t="shared" si="241"/>
        <v>37.190909090909088</v>
      </c>
      <c r="M283" s="124">
        <v>27540</v>
      </c>
      <c r="N283" s="61">
        <f t="shared" si="242"/>
        <v>3379984.2</v>
      </c>
      <c r="O283" s="1"/>
      <c r="P283" s="1"/>
      <c r="Q283" s="1"/>
      <c r="R283" s="1"/>
    </row>
    <row r="284" spans="1:18" x14ac:dyDescent="0.25">
      <c r="A284" s="58">
        <v>46251</v>
      </c>
      <c r="B284" s="201" t="s">
        <v>54</v>
      </c>
      <c r="C284" s="93">
        <v>317737</v>
      </c>
      <c r="D284" s="93">
        <v>318183</v>
      </c>
      <c r="E284" s="20">
        <f t="shared" si="237"/>
        <v>446</v>
      </c>
      <c r="F284" s="59">
        <v>138.44999999999999</v>
      </c>
      <c r="G284" s="21">
        <f t="shared" si="238"/>
        <v>31.042600896860982</v>
      </c>
      <c r="H284" s="137">
        <v>31323</v>
      </c>
      <c r="I284" s="137">
        <v>31733</v>
      </c>
      <c r="J284" s="93">
        <f t="shared" si="239"/>
        <v>410</v>
      </c>
      <c r="K284" s="93">
        <f t="shared" si="240"/>
        <v>138.44999999999999</v>
      </c>
      <c r="L284" s="153">
        <f t="shared" si="241"/>
        <v>33.768292682926827</v>
      </c>
      <c r="M284" s="124">
        <v>27230</v>
      </c>
      <c r="N284" s="61">
        <f t="shared" si="242"/>
        <v>3769993.4999999995</v>
      </c>
      <c r="O284" s="1"/>
      <c r="P284" s="1"/>
      <c r="Q284" s="1"/>
      <c r="R284" s="1"/>
    </row>
    <row r="285" spans="1:18" x14ac:dyDescent="0.25">
      <c r="A285" s="58">
        <v>46254</v>
      </c>
      <c r="B285" s="201" t="s">
        <v>54</v>
      </c>
      <c r="C285" s="93">
        <v>318183</v>
      </c>
      <c r="D285" s="93">
        <v>318620</v>
      </c>
      <c r="E285" s="20">
        <f t="shared" si="237"/>
        <v>437</v>
      </c>
      <c r="F285" s="59">
        <v>139.56</v>
      </c>
      <c r="G285" s="21">
        <f t="shared" si="238"/>
        <v>31.935926773455375</v>
      </c>
      <c r="H285" s="137">
        <v>31733</v>
      </c>
      <c r="I285" s="137">
        <v>32134</v>
      </c>
      <c r="J285" s="93">
        <f t="shared" si="239"/>
        <v>401</v>
      </c>
      <c r="K285" s="93">
        <f t="shared" si="240"/>
        <v>139.56</v>
      </c>
      <c r="L285" s="153">
        <f t="shared" si="241"/>
        <v>34.802992518703242</v>
      </c>
      <c r="M285" s="124">
        <v>27230</v>
      </c>
      <c r="N285" s="61">
        <f t="shared" ref="N285:N287" si="243">M285*K285</f>
        <v>3800218.8000000003</v>
      </c>
      <c r="O285" s="1"/>
      <c r="P285" s="1"/>
      <c r="Q285" s="1"/>
      <c r="R285" s="1"/>
    </row>
    <row r="286" spans="1:18" x14ac:dyDescent="0.25">
      <c r="A286" s="58">
        <v>46258</v>
      </c>
      <c r="B286" s="201" t="s">
        <v>54</v>
      </c>
      <c r="C286" s="93">
        <v>318620</v>
      </c>
      <c r="D286" s="59">
        <v>319023</v>
      </c>
      <c r="E286" s="20">
        <f t="shared" si="237"/>
        <v>403</v>
      </c>
      <c r="F286" s="59">
        <v>136.58000000000001</v>
      </c>
      <c r="G286" s="21">
        <f t="shared" si="238"/>
        <v>33.890818858560792</v>
      </c>
      <c r="H286" s="137">
        <v>32134</v>
      </c>
      <c r="I286" s="137">
        <v>32537</v>
      </c>
      <c r="J286" s="93">
        <f t="shared" si="239"/>
        <v>403</v>
      </c>
      <c r="K286" s="93">
        <f t="shared" si="240"/>
        <v>136.58000000000001</v>
      </c>
      <c r="L286" s="153">
        <f t="shared" si="241"/>
        <v>33.890818858560792</v>
      </c>
      <c r="M286" s="124">
        <v>28540</v>
      </c>
      <c r="N286" s="61">
        <f t="shared" si="243"/>
        <v>3897993.2</v>
      </c>
      <c r="O286" s="1"/>
      <c r="P286" s="1"/>
      <c r="Q286" s="1"/>
      <c r="R286" s="1"/>
    </row>
    <row r="287" spans="1:18" ht="16.5" thickBot="1" x14ac:dyDescent="0.3">
      <c r="A287" s="58">
        <v>46263</v>
      </c>
      <c r="B287" s="201" t="s">
        <v>54</v>
      </c>
      <c r="C287" s="59">
        <v>319023</v>
      </c>
      <c r="D287" s="59">
        <v>319547</v>
      </c>
      <c r="E287" s="20">
        <f t="shared" si="237"/>
        <v>524</v>
      </c>
      <c r="F287" s="59">
        <v>160.26</v>
      </c>
      <c r="G287" s="21">
        <f t="shared" si="238"/>
        <v>30.583969465648853</v>
      </c>
      <c r="H287" s="137">
        <v>32537</v>
      </c>
      <c r="I287" s="137">
        <v>33047</v>
      </c>
      <c r="J287" s="93">
        <f t="shared" si="239"/>
        <v>510</v>
      </c>
      <c r="K287" s="93">
        <f t="shared" si="240"/>
        <v>160.26</v>
      </c>
      <c r="L287" s="153">
        <f t="shared" si="241"/>
        <v>31.423529411764704</v>
      </c>
      <c r="M287" s="124">
        <v>28080</v>
      </c>
      <c r="N287" s="61">
        <f t="shared" si="243"/>
        <v>4500100.8</v>
      </c>
      <c r="O287" s="1"/>
      <c r="P287" s="1"/>
      <c r="Q287" s="1"/>
      <c r="R287" s="1"/>
    </row>
    <row r="288" spans="1:18" ht="16.5" thickBot="1" x14ac:dyDescent="0.3">
      <c r="A288" s="58"/>
      <c r="B288" s="78"/>
      <c r="C288" s="77"/>
      <c r="D288" s="77" t="s">
        <v>17</v>
      </c>
      <c r="E288" s="77">
        <f>SUM(E281:E285)</f>
        <v>2143</v>
      </c>
      <c r="F288" s="77"/>
      <c r="G288" s="79">
        <f>AVERAGE(G281:G285)</f>
        <v>31.96597748695811</v>
      </c>
      <c r="H288" s="77"/>
      <c r="I288" s="80"/>
      <c r="J288" s="77">
        <f t="shared" ref="J288:K288" si="244">SUM(J281:J285)</f>
        <v>1824</v>
      </c>
      <c r="K288" s="77">
        <f t="shared" si="244"/>
        <v>684.62999999999988</v>
      </c>
      <c r="L288" s="79">
        <f>AVERAGE(L281:L285)</f>
        <v>38.545865107056031</v>
      </c>
      <c r="M288" s="78"/>
      <c r="N288" s="81">
        <f>SUM(N281:N287)</f>
        <v>27178206.699999999</v>
      </c>
      <c r="O288" s="1"/>
      <c r="P288" s="1"/>
      <c r="Q288" s="1"/>
      <c r="R288" s="1"/>
    </row>
    <row r="289" spans="1:18" x14ac:dyDescent="0.25">
      <c r="A289" s="58">
        <v>46235</v>
      </c>
      <c r="B289" s="207" t="s">
        <v>67</v>
      </c>
      <c r="C289" s="93"/>
      <c r="D289" s="19"/>
      <c r="E289" s="82">
        <f t="shared" ref="E289:E296" si="245">D289-C289</f>
        <v>0</v>
      </c>
      <c r="F289" s="54"/>
      <c r="G289" s="21" t="e">
        <f t="shared" ref="G289:G296" si="246">(F289/E289)*100</f>
        <v>#DIV/0!</v>
      </c>
      <c r="H289" s="93"/>
      <c r="I289" s="138"/>
      <c r="J289" s="52">
        <f t="shared" ref="J289:J296" si="247">I289-H289</f>
        <v>0</v>
      </c>
      <c r="K289" s="52">
        <f t="shared" ref="K289:K296" si="248">F289</f>
        <v>0</v>
      </c>
      <c r="L289" s="153" t="e">
        <f t="shared" ref="L289:L296" si="249">(K289/J289)*100</f>
        <v>#DIV/0!</v>
      </c>
      <c r="M289" s="56"/>
      <c r="N289" s="61">
        <v>12000000</v>
      </c>
      <c r="O289" s="1"/>
      <c r="P289" s="1"/>
      <c r="Q289" s="1"/>
      <c r="R289" s="1"/>
    </row>
    <row r="290" spans="1:18" x14ac:dyDescent="0.25">
      <c r="A290" s="58">
        <v>46246</v>
      </c>
      <c r="B290" s="207" t="s">
        <v>67</v>
      </c>
      <c r="C290" s="93"/>
      <c r="D290" s="93"/>
      <c r="E290" s="20">
        <f t="shared" si="245"/>
        <v>0</v>
      </c>
      <c r="F290" s="59"/>
      <c r="G290" s="21" t="e">
        <f t="shared" si="246"/>
        <v>#DIV/0!</v>
      </c>
      <c r="H290" s="93"/>
      <c r="I290" s="137"/>
      <c r="J290" s="93">
        <f t="shared" si="247"/>
        <v>0</v>
      </c>
      <c r="K290" s="93">
        <f t="shared" si="248"/>
        <v>0</v>
      </c>
      <c r="L290" s="153" t="e">
        <f t="shared" si="249"/>
        <v>#DIV/0!</v>
      </c>
      <c r="M290" s="124"/>
      <c r="N290" s="61">
        <v>3000000</v>
      </c>
      <c r="O290" s="1"/>
      <c r="P290" s="1"/>
      <c r="Q290" s="1"/>
      <c r="R290" s="1"/>
    </row>
    <row r="291" spans="1:18" x14ac:dyDescent="0.25">
      <c r="A291" s="58">
        <v>46251</v>
      </c>
      <c r="B291" s="207" t="s">
        <v>67</v>
      </c>
      <c r="C291" s="93"/>
      <c r="D291" s="93"/>
      <c r="E291" s="20">
        <f t="shared" si="245"/>
        <v>0</v>
      </c>
      <c r="F291" s="59"/>
      <c r="G291" s="21" t="e">
        <f t="shared" si="246"/>
        <v>#DIV/0!</v>
      </c>
      <c r="H291" s="93"/>
      <c r="I291" s="137"/>
      <c r="J291" s="93">
        <f t="shared" si="247"/>
        <v>0</v>
      </c>
      <c r="K291" s="93">
        <f t="shared" si="248"/>
        <v>0</v>
      </c>
      <c r="L291" s="153" t="e">
        <f t="shared" si="249"/>
        <v>#DIV/0!</v>
      </c>
      <c r="M291" s="124"/>
      <c r="N291" s="61">
        <v>7000000</v>
      </c>
      <c r="O291" s="1"/>
      <c r="P291" s="1"/>
      <c r="Q291" s="1"/>
      <c r="R291" s="1"/>
    </row>
    <row r="292" spans="1:18" x14ac:dyDescent="0.25">
      <c r="A292" s="58">
        <v>46254</v>
      </c>
      <c r="B292" s="207" t="s">
        <v>67</v>
      </c>
      <c r="C292" s="93"/>
      <c r="D292" s="93"/>
      <c r="E292" s="20">
        <f t="shared" si="245"/>
        <v>0</v>
      </c>
      <c r="F292" s="59"/>
      <c r="G292" s="21" t="e">
        <f t="shared" si="246"/>
        <v>#DIV/0!</v>
      </c>
      <c r="H292" s="93"/>
      <c r="I292" s="137"/>
      <c r="J292" s="93">
        <f t="shared" si="247"/>
        <v>0</v>
      </c>
      <c r="K292" s="93">
        <f t="shared" si="248"/>
        <v>0</v>
      </c>
      <c r="L292" s="153" t="e">
        <f t="shared" si="249"/>
        <v>#DIV/0!</v>
      </c>
      <c r="M292" s="124"/>
      <c r="N292" s="61">
        <v>4000000</v>
      </c>
      <c r="O292" s="1"/>
      <c r="P292" s="1"/>
      <c r="Q292" s="1"/>
      <c r="R292" s="1"/>
    </row>
    <row r="293" spans="1:18" x14ac:dyDescent="0.25">
      <c r="A293" s="58">
        <v>46265</v>
      </c>
      <c r="B293" s="207" t="s">
        <v>67</v>
      </c>
      <c r="C293" s="93"/>
      <c r="D293" s="93"/>
      <c r="E293" s="20">
        <f t="shared" si="245"/>
        <v>0</v>
      </c>
      <c r="F293" s="59"/>
      <c r="G293" s="21" t="e">
        <f t="shared" si="246"/>
        <v>#DIV/0!</v>
      </c>
      <c r="H293" s="93"/>
      <c r="I293" s="137"/>
      <c r="J293" s="93">
        <f t="shared" si="247"/>
        <v>0</v>
      </c>
      <c r="K293" s="93">
        <f t="shared" si="248"/>
        <v>0</v>
      </c>
      <c r="L293" s="153" t="e">
        <f t="shared" si="249"/>
        <v>#DIV/0!</v>
      </c>
      <c r="M293" s="124"/>
      <c r="N293" s="61">
        <v>2000000</v>
      </c>
      <c r="O293" s="1"/>
      <c r="P293" s="1"/>
      <c r="Q293" s="1"/>
      <c r="R293" s="1"/>
    </row>
    <row r="294" spans="1:18" x14ac:dyDescent="0.25">
      <c r="A294" s="58"/>
      <c r="B294" s="207" t="s">
        <v>67</v>
      </c>
      <c r="C294" s="93"/>
      <c r="D294" s="93"/>
      <c r="E294" s="20">
        <f t="shared" si="245"/>
        <v>0</v>
      </c>
      <c r="F294" s="59"/>
      <c r="G294" s="21" t="e">
        <f t="shared" si="246"/>
        <v>#DIV/0!</v>
      </c>
      <c r="H294" s="93"/>
      <c r="I294" s="137"/>
      <c r="J294" s="93">
        <f t="shared" si="247"/>
        <v>0</v>
      </c>
      <c r="K294" s="93">
        <f t="shared" si="248"/>
        <v>0</v>
      </c>
      <c r="L294" s="153" t="e">
        <f t="shared" si="249"/>
        <v>#DIV/0!</v>
      </c>
      <c r="M294" s="124"/>
      <c r="N294" s="61">
        <f t="shared" ref="N294:N296" si="250">M294*K294</f>
        <v>0</v>
      </c>
      <c r="O294" s="1"/>
      <c r="P294" s="1"/>
      <c r="Q294" s="1"/>
      <c r="R294" s="1"/>
    </row>
    <row r="295" spans="1:18" x14ac:dyDescent="0.25">
      <c r="A295" s="58"/>
      <c r="B295" s="207" t="s">
        <v>67</v>
      </c>
      <c r="C295" s="93"/>
      <c r="D295" s="93"/>
      <c r="E295" s="20">
        <f t="shared" si="245"/>
        <v>0</v>
      </c>
      <c r="F295" s="59"/>
      <c r="G295" s="21" t="e">
        <f t="shared" si="246"/>
        <v>#DIV/0!</v>
      </c>
      <c r="H295" s="93"/>
      <c r="I295" s="137"/>
      <c r="J295" s="93">
        <f t="shared" si="247"/>
        <v>0</v>
      </c>
      <c r="K295" s="93">
        <f t="shared" si="248"/>
        <v>0</v>
      </c>
      <c r="L295" s="153" t="e">
        <f t="shared" si="249"/>
        <v>#DIV/0!</v>
      </c>
      <c r="M295" s="124"/>
      <c r="N295" s="61">
        <f t="shared" si="250"/>
        <v>0</v>
      </c>
      <c r="O295" s="1"/>
      <c r="P295" s="1"/>
      <c r="Q295" s="1"/>
      <c r="R295" s="1"/>
    </row>
    <row r="296" spans="1:18" ht="16.5" thickBot="1" x14ac:dyDescent="0.3">
      <c r="A296" s="58"/>
      <c r="B296" s="207" t="s">
        <v>67</v>
      </c>
      <c r="C296" s="93"/>
      <c r="D296" s="93"/>
      <c r="E296" s="20">
        <f t="shared" si="245"/>
        <v>0</v>
      </c>
      <c r="F296" s="59"/>
      <c r="G296" s="21" t="e">
        <f t="shared" si="246"/>
        <v>#DIV/0!</v>
      </c>
      <c r="H296" s="93"/>
      <c r="I296" s="137"/>
      <c r="J296" s="93">
        <f t="shared" si="247"/>
        <v>0</v>
      </c>
      <c r="K296" s="93">
        <f t="shared" si="248"/>
        <v>0</v>
      </c>
      <c r="L296" s="153" t="e">
        <f t="shared" si="249"/>
        <v>#DIV/0!</v>
      </c>
      <c r="M296" s="124"/>
      <c r="N296" s="61">
        <f t="shared" si="250"/>
        <v>0</v>
      </c>
      <c r="O296" s="1"/>
      <c r="P296" s="1"/>
      <c r="Q296" s="1"/>
      <c r="R296" s="1"/>
    </row>
    <row r="297" spans="1:18" ht="16.5" thickBot="1" x14ac:dyDescent="0.3">
      <c r="A297" s="77"/>
      <c r="B297" s="78"/>
      <c r="C297" s="77"/>
      <c r="D297" s="77"/>
      <c r="E297" s="77">
        <f>SUM(E289:E293)</f>
        <v>0</v>
      </c>
      <c r="F297" s="77"/>
      <c r="G297" s="79" t="e">
        <f>AVERAGE(G289:G293)</f>
        <v>#DIV/0!</v>
      </c>
      <c r="H297" s="77"/>
      <c r="I297" s="80"/>
      <c r="J297" s="77">
        <f t="shared" ref="J297:K297" si="251">SUM(J289:J293)</f>
        <v>0</v>
      </c>
      <c r="K297" s="77">
        <f t="shared" si="251"/>
        <v>0</v>
      </c>
      <c r="L297" s="79" t="e">
        <f>AVERAGE(L289:L293)</f>
        <v>#DIV/0!</v>
      </c>
      <c r="M297" s="78"/>
      <c r="N297" s="81">
        <f>SUM(N289:N296)</f>
        <v>28000000</v>
      </c>
      <c r="O297" s="1"/>
      <c r="P297" s="1"/>
      <c r="Q297" s="1"/>
      <c r="R297" s="1"/>
    </row>
    <row r="298" spans="1:18" x14ac:dyDescent="0.25">
      <c r="A298" s="51">
        <v>46249</v>
      </c>
      <c r="B298" s="156" t="s">
        <v>57</v>
      </c>
      <c r="C298" s="93"/>
      <c r="D298" s="19"/>
      <c r="E298" s="82">
        <f t="shared" ref="E298:E303" si="252">D298-C298</f>
        <v>0</v>
      </c>
      <c r="F298" s="54"/>
      <c r="G298" s="21" t="e">
        <f t="shared" ref="G298:G303" si="253">(F298/E298)*100</f>
        <v>#DIV/0!</v>
      </c>
      <c r="H298" s="93"/>
      <c r="I298" s="138"/>
      <c r="J298" s="52">
        <f t="shared" ref="J298:J305" si="254">I298-H298</f>
        <v>0</v>
      </c>
      <c r="K298" s="52"/>
      <c r="L298" s="153" t="e">
        <f t="shared" ref="L298:L305" si="255">(K298/J298)*100</f>
        <v>#DIV/0!</v>
      </c>
      <c r="M298" s="56"/>
      <c r="N298" s="61">
        <v>6100000</v>
      </c>
      <c r="O298" s="1"/>
      <c r="P298" s="1"/>
      <c r="Q298" s="1"/>
      <c r="R298" s="1"/>
    </row>
    <row r="299" spans="1:18" x14ac:dyDescent="0.25">
      <c r="A299" s="62">
        <v>46254</v>
      </c>
      <c r="B299" s="156" t="s">
        <v>57</v>
      </c>
      <c r="C299" s="93"/>
      <c r="D299" s="93"/>
      <c r="E299" s="20">
        <f t="shared" si="252"/>
        <v>0</v>
      </c>
      <c r="F299" s="59"/>
      <c r="G299" s="21" t="e">
        <f t="shared" si="253"/>
        <v>#DIV/0!</v>
      </c>
      <c r="H299" s="93"/>
      <c r="I299" s="137"/>
      <c r="J299" s="93">
        <f t="shared" si="254"/>
        <v>0</v>
      </c>
      <c r="K299" s="93">
        <f t="shared" ref="K299:K305" si="256">F299</f>
        <v>0</v>
      </c>
      <c r="L299" s="153" t="e">
        <f t="shared" si="255"/>
        <v>#DIV/0!</v>
      </c>
      <c r="M299" s="124"/>
      <c r="N299" s="61">
        <v>12600000</v>
      </c>
      <c r="O299" s="1"/>
      <c r="P299" s="1"/>
      <c r="Q299" s="1"/>
      <c r="R299" s="1"/>
    </row>
    <row r="300" spans="1:18" x14ac:dyDescent="0.25">
      <c r="A300" s="62"/>
      <c r="B300" s="156" t="s">
        <v>57</v>
      </c>
      <c r="C300" s="93"/>
      <c r="D300" s="93"/>
      <c r="E300" s="20">
        <f t="shared" si="252"/>
        <v>0</v>
      </c>
      <c r="F300" s="59"/>
      <c r="G300" s="21" t="e">
        <f t="shared" si="253"/>
        <v>#DIV/0!</v>
      </c>
      <c r="H300" s="93"/>
      <c r="I300" s="137"/>
      <c r="J300" s="93">
        <f t="shared" si="254"/>
        <v>0</v>
      </c>
      <c r="K300" s="93">
        <f t="shared" si="256"/>
        <v>0</v>
      </c>
      <c r="L300" s="153" t="e">
        <f t="shared" si="255"/>
        <v>#DIV/0!</v>
      </c>
      <c r="M300" s="124"/>
      <c r="N300" s="61">
        <f t="shared" ref="N300:N305" si="257">M300*K300</f>
        <v>0</v>
      </c>
      <c r="O300" s="1"/>
      <c r="P300" s="1"/>
      <c r="Q300" s="1"/>
      <c r="R300" s="1"/>
    </row>
    <row r="301" spans="1:18" x14ac:dyDescent="0.25">
      <c r="A301" s="62"/>
      <c r="B301" s="156" t="s">
        <v>57</v>
      </c>
      <c r="C301" s="93"/>
      <c r="D301" s="93"/>
      <c r="E301" s="20">
        <f t="shared" si="252"/>
        <v>0</v>
      </c>
      <c r="F301" s="59"/>
      <c r="G301" s="21" t="e">
        <f t="shared" si="253"/>
        <v>#DIV/0!</v>
      </c>
      <c r="H301" s="93"/>
      <c r="I301" s="137"/>
      <c r="J301" s="93">
        <f t="shared" si="254"/>
        <v>0</v>
      </c>
      <c r="K301" s="93">
        <f t="shared" si="256"/>
        <v>0</v>
      </c>
      <c r="L301" s="153" t="e">
        <f t="shared" si="255"/>
        <v>#DIV/0!</v>
      </c>
      <c r="M301" s="124"/>
      <c r="N301" s="61">
        <f t="shared" si="257"/>
        <v>0</v>
      </c>
      <c r="O301" s="1"/>
      <c r="P301" s="1"/>
      <c r="Q301" s="1"/>
      <c r="R301" s="1"/>
    </row>
    <row r="302" spans="1:18" x14ac:dyDescent="0.25">
      <c r="A302" s="62"/>
      <c r="B302" s="156" t="s">
        <v>57</v>
      </c>
      <c r="C302" s="93"/>
      <c r="D302" s="93"/>
      <c r="E302" s="20">
        <f t="shared" si="252"/>
        <v>0</v>
      </c>
      <c r="F302" s="59"/>
      <c r="G302" s="21" t="e">
        <f t="shared" si="253"/>
        <v>#DIV/0!</v>
      </c>
      <c r="H302" s="93"/>
      <c r="I302" s="137"/>
      <c r="J302" s="93">
        <f t="shared" si="254"/>
        <v>0</v>
      </c>
      <c r="K302" s="93">
        <f t="shared" si="256"/>
        <v>0</v>
      </c>
      <c r="L302" s="153" t="e">
        <f t="shared" si="255"/>
        <v>#DIV/0!</v>
      </c>
      <c r="M302" s="124"/>
      <c r="N302" s="61">
        <f t="shared" si="257"/>
        <v>0</v>
      </c>
      <c r="O302" s="1"/>
      <c r="P302" s="1"/>
      <c r="Q302" s="1"/>
      <c r="R302" s="1"/>
    </row>
    <row r="303" spans="1:18" x14ac:dyDescent="0.25">
      <c r="A303" s="62"/>
      <c r="B303" s="156" t="s">
        <v>57</v>
      </c>
      <c r="C303" s="93"/>
      <c r="D303" s="93"/>
      <c r="E303" s="20">
        <f t="shared" si="252"/>
        <v>0</v>
      </c>
      <c r="F303" s="59"/>
      <c r="G303" s="21" t="e">
        <f t="shared" si="253"/>
        <v>#DIV/0!</v>
      </c>
      <c r="H303" s="93"/>
      <c r="I303" s="137"/>
      <c r="J303" s="93">
        <f t="shared" si="254"/>
        <v>0</v>
      </c>
      <c r="K303" s="93">
        <f t="shared" si="256"/>
        <v>0</v>
      </c>
      <c r="L303" s="153" t="e">
        <f t="shared" si="255"/>
        <v>#DIV/0!</v>
      </c>
      <c r="M303" s="124"/>
      <c r="N303" s="61">
        <f t="shared" si="257"/>
        <v>0</v>
      </c>
      <c r="O303" s="1"/>
      <c r="P303" s="1"/>
      <c r="Q303" s="1"/>
      <c r="R303" s="1"/>
    </row>
    <row r="304" spans="1:18" x14ac:dyDescent="0.25">
      <c r="A304" s="62"/>
      <c r="B304" s="156" t="s">
        <v>57</v>
      </c>
      <c r="C304" s="93"/>
      <c r="D304" s="93"/>
      <c r="E304" s="20"/>
      <c r="F304" s="59"/>
      <c r="G304" s="21"/>
      <c r="H304" s="93"/>
      <c r="I304" s="137"/>
      <c r="J304" s="93">
        <f t="shared" si="254"/>
        <v>0</v>
      </c>
      <c r="K304" s="93">
        <f t="shared" si="256"/>
        <v>0</v>
      </c>
      <c r="L304" s="153" t="e">
        <f t="shared" si="255"/>
        <v>#DIV/0!</v>
      </c>
      <c r="M304" s="124"/>
      <c r="N304" s="61">
        <f t="shared" si="257"/>
        <v>0</v>
      </c>
      <c r="O304" s="1"/>
      <c r="P304" s="1"/>
      <c r="Q304" s="1"/>
      <c r="R304" s="1"/>
    </row>
    <row r="305" spans="1:21" ht="16.5" thickBot="1" x14ac:dyDescent="0.3">
      <c r="A305" s="62"/>
      <c r="B305" s="156" t="s">
        <v>57</v>
      </c>
      <c r="C305" s="93"/>
      <c r="D305" s="93"/>
      <c r="E305" s="20">
        <f>D305-C305</f>
        <v>0</v>
      </c>
      <c r="F305" s="59"/>
      <c r="G305" s="21" t="e">
        <f>(F305/E305)*100</f>
        <v>#DIV/0!</v>
      </c>
      <c r="H305" s="93"/>
      <c r="I305" s="137"/>
      <c r="J305" s="93">
        <f t="shared" si="254"/>
        <v>0</v>
      </c>
      <c r="K305" s="93">
        <f t="shared" si="256"/>
        <v>0</v>
      </c>
      <c r="L305" s="153" t="e">
        <f t="shared" si="255"/>
        <v>#DIV/0!</v>
      </c>
      <c r="M305" s="124"/>
      <c r="N305" s="61">
        <f t="shared" si="257"/>
        <v>0</v>
      </c>
      <c r="O305" s="1"/>
      <c r="P305" s="1"/>
      <c r="Q305" s="1"/>
      <c r="R305" s="1"/>
    </row>
    <row r="306" spans="1:21" ht="16.5" thickBot="1" x14ac:dyDescent="0.3">
      <c r="A306" s="51"/>
      <c r="B306" s="78"/>
      <c r="C306" s="77"/>
      <c r="D306" s="77" t="s">
        <v>17</v>
      </c>
      <c r="E306" s="77">
        <f>SUM(E298:E305)</f>
        <v>0</v>
      </c>
      <c r="F306" s="77"/>
      <c r="G306" s="79" t="e">
        <f>AVERAGE(G298:G305)</f>
        <v>#DIV/0!</v>
      </c>
      <c r="H306" s="77"/>
      <c r="I306" s="80"/>
      <c r="J306" s="77">
        <f t="shared" ref="J306:K306" si="258">SUM(J298:J305)</f>
        <v>0</v>
      </c>
      <c r="K306" s="77">
        <f t="shared" si="258"/>
        <v>0</v>
      </c>
      <c r="L306" s="79" t="e">
        <f>AVERAGE(L298:L305)</f>
        <v>#DIV/0!</v>
      </c>
      <c r="M306" s="78"/>
      <c r="N306" s="81">
        <f>SUM(N298:N305)</f>
        <v>18700000</v>
      </c>
      <c r="O306" s="1"/>
      <c r="P306" s="1"/>
      <c r="Q306" s="1"/>
      <c r="R306" s="1"/>
    </row>
    <row r="307" spans="1:21" x14ac:dyDescent="0.25">
      <c r="A307" s="51">
        <v>46241</v>
      </c>
      <c r="B307" s="156" t="s">
        <v>68</v>
      </c>
      <c r="C307" s="93"/>
      <c r="D307" s="19"/>
      <c r="E307" s="82">
        <f t="shared" ref="E307:E314" si="259">D307-C307</f>
        <v>0</v>
      </c>
      <c r="F307" s="54"/>
      <c r="G307" s="21" t="e">
        <f t="shared" ref="G307:G314" si="260">(F307/E307)*100</f>
        <v>#DIV/0!</v>
      </c>
      <c r="H307" s="93"/>
      <c r="I307" s="138"/>
      <c r="J307" s="52">
        <f t="shared" ref="J307:J314" si="261">I307-H307</f>
        <v>0</v>
      </c>
      <c r="K307" s="52">
        <f t="shared" ref="K307:K309" si="262">F307</f>
        <v>0</v>
      </c>
      <c r="L307" s="55" t="e">
        <f t="shared" ref="L307:L314" si="263">(K307/J307)*100</f>
        <v>#DIV/0!</v>
      </c>
      <c r="M307" s="56"/>
      <c r="N307" s="61">
        <v>4131000</v>
      </c>
      <c r="O307" s="1"/>
      <c r="P307" s="1"/>
      <c r="Q307" s="1"/>
      <c r="R307" s="1"/>
    </row>
    <row r="308" spans="1:21" ht="16.5" thickBot="1" x14ac:dyDescent="0.3">
      <c r="A308" s="62">
        <v>46248</v>
      </c>
      <c r="B308" s="156" t="s">
        <v>68</v>
      </c>
      <c r="C308" s="93"/>
      <c r="D308" s="93"/>
      <c r="E308" s="20">
        <f t="shared" si="259"/>
        <v>0</v>
      </c>
      <c r="F308" s="59"/>
      <c r="G308" s="21" t="e">
        <f t="shared" si="260"/>
        <v>#DIV/0!</v>
      </c>
      <c r="H308" s="93"/>
      <c r="I308" s="93"/>
      <c r="J308" s="53">
        <f t="shared" si="261"/>
        <v>0</v>
      </c>
      <c r="K308" s="53">
        <f t="shared" si="262"/>
        <v>0</v>
      </c>
      <c r="L308" s="60" t="e">
        <f t="shared" si="263"/>
        <v>#DIV/0!</v>
      </c>
      <c r="M308" s="124"/>
      <c r="N308" s="61">
        <v>9530500</v>
      </c>
      <c r="O308" s="24"/>
      <c r="P308" s="24"/>
      <c r="Q308" s="24"/>
      <c r="R308" s="24"/>
      <c r="S308" s="131"/>
      <c r="T308" s="131"/>
      <c r="U308" s="131"/>
    </row>
    <row r="309" spans="1:21" x14ac:dyDescent="0.25">
      <c r="A309" s="62">
        <v>46254</v>
      </c>
      <c r="B309" s="156" t="s">
        <v>68</v>
      </c>
      <c r="C309" s="93"/>
      <c r="D309" s="19"/>
      <c r="E309" s="82">
        <f t="shared" si="259"/>
        <v>0</v>
      </c>
      <c r="F309" s="54"/>
      <c r="G309" s="21" t="e">
        <f t="shared" si="260"/>
        <v>#DIV/0!</v>
      </c>
      <c r="H309" s="93"/>
      <c r="I309" s="138"/>
      <c r="J309" s="52">
        <f t="shared" si="261"/>
        <v>0</v>
      </c>
      <c r="K309" s="52">
        <f t="shared" si="262"/>
        <v>0</v>
      </c>
      <c r="L309" s="55" t="e">
        <f t="shared" si="263"/>
        <v>#DIV/0!</v>
      </c>
      <c r="M309" s="56"/>
      <c r="N309" s="61">
        <v>4629000</v>
      </c>
      <c r="O309" s="1"/>
      <c r="P309" s="1"/>
      <c r="Q309" s="1"/>
      <c r="R309" s="1"/>
    </row>
    <row r="310" spans="1:21" x14ac:dyDescent="0.25">
      <c r="A310" s="62"/>
      <c r="B310" s="156" t="s">
        <v>68</v>
      </c>
      <c r="C310" s="93"/>
      <c r="D310" s="93"/>
      <c r="E310" s="20">
        <f t="shared" si="259"/>
        <v>0</v>
      </c>
      <c r="F310" s="59"/>
      <c r="G310" s="21" t="e">
        <f t="shared" si="260"/>
        <v>#DIV/0!</v>
      </c>
      <c r="H310" s="93"/>
      <c r="I310" s="137"/>
      <c r="J310" s="53">
        <f t="shared" si="261"/>
        <v>0</v>
      </c>
      <c r="K310" s="53"/>
      <c r="L310" s="60" t="e">
        <f t="shared" si="263"/>
        <v>#DIV/0!</v>
      </c>
      <c r="M310" s="124"/>
      <c r="N310" s="61">
        <f t="shared" ref="N310:N314" si="264">M310*K310</f>
        <v>0</v>
      </c>
      <c r="O310" s="1"/>
      <c r="P310" s="1"/>
      <c r="Q310" s="1"/>
      <c r="R310" s="1"/>
    </row>
    <row r="311" spans="1:21" x14ac:dyDescent="0.25">
      <c r="A311" s="62"/>
      <c r="B311" s="156" t="s">
        <v>68</v>
      </c>
      <c r="C311" s="93"/>
      <c r="D311" s="93"/>
      <c r="E311" s="20">
        <f t="shared" si="259"/>
        <v>0</v>
      </c>
      <c r="F311" s="59"/>
      <c r="G311" s="21" t="e">
        <f t="shared" si="260"/>
        <v>#DIV/0!</v>
      </c>
      <c r="H311" s="93"/>
      <c r="I311" s="137"/>
      <c r="J311" s="53">
        <f t="shared" si="261"/>
        <v>0</v>
      </c>
      <c r="K311" s="53">
        <f t="shared" ref="K311:K314" si="265">F311</f>
        <v>0</v>
      </c>
      <c r="L311" s="74" t="e">
        <f t="shared" si="263"/>
        <v>#DIV/0!</v>
      </c>
      <c r="M311" s="124"/>
      <c r="N311" s="61">
        <f t="shared" si="264"/>
        <v>0</v>
      </c>
      <c r="O311" s="1"/>
      <c r="P311" s="1"/>
      <c r="Q311" s="1"/>
      <c r="R311" s="1"/>
    </row>
    <row r="312" spans="1:21" x14ac:dyDescent="0.25">
      <c r="A312" s="62"/>
      <c r="B312" s="156" t="s">
        <v>68</v>
      </c>
      <c r="C312" s="93"/>
      <c r="D312" s="93"/>
      <c r="E312" s="20">
        <f t="shared" si="259"/>
        <v>0</v>
      </c>
      <c r="F312" s="59"/>
      <c r="G312" s="21" t="e">
        <f t="shared" si="260"/>
        <v>#DIV/0!</v>
      </c>
      <c r="H312" s="93"/>
      <c r="I312" s="137"/>
      <c r="J312" s="93">
        <f t="shared" si="261"/>
        <v>0</v>
      </c>
      <c r="K312" s="93">
        <f t="shared" si="265"/>
        <v>0</v>
      </c>
      <c r="L312" s="153" t="e">
        <f t="shared" si="263"/>
        <v>#DIV/0!</v>
      </c>
      <c r="M312" s="124"/>
      <c r="N312" s="61">
        <f t="shared" si="264"/>
        <v>0</v>
      </c>
      <c r="O312" s="1"/>
      <c r="P312" s="1"/>
      <c r="Q312" s="1"/>
      <c r="R312" s="1"/>
    </row>
    <row r="313" spans="1:21" x14ac:dyDescent="0.25">
      <c r="A313" s="62"/>
      <c r="B313" s="156" t="s">
        <v>68</v>
      </c>
      <c r="C313" s="93"/>
      <c r="D313" s="93"/>
      <c r="E313" s="20">
        <f t="shared" si="259"/>
        <v>0</v>
      </c>
      <c r="F313" s="59"/>
      <c r="G313" s="21" t="e">
        <f t="shared" si="260"/>
        <v>#DIV/0!</v>
      </c>
      <c r="H313" s="93"/>
      <c r="I313" s="137"/>
      <c r="J313" s="93">
        <f t="shared" si="261"/>
        <v>0</v>
      </c>
      <c r="K313" s="93">
        <f t="shared" si="265"/>
        <v>0</v>
      </c>
      <c r="L313" s="153" t="e">
        <f t="shared" si="263"/>
        <v>#DIV/0!</v>
      </c>
      <c r="M313" s="124"/>
      <c r="N313" s="61">
        <f t="shared" si="264"/>
        <v>0</v>
      </c>
      <c r="O313" s="1"/>
      <c r="P313" s="1"/>
      <c r="Q313" s="1"/>
      <c r="R313" s="1"/>
    </row>
    <row r="314" spans="1:21" ht="16.5" thickBot="1" x14ac:dyDescent="0.3">
      <c r="A314" s="62"/>
      <c r="B314" s="156" t="s">
        <v>68</v>
      </c>
      <c r="C314" s="93"/>
      <c r="D314" s="93"/>
      <c r="E314" s="20">
        <f t="shared" si="259"/>
        <v>0</v>
      </c>
      <c r="F314" s="59"/>
      <c r="G314" s="21" t="e">
        <f t="shared" si="260"/>
        <v>#DIV/0!</v>
      </c>
      <c r="H314" s="93"/>
      <c r="I314" s="137"/>
      <c r="J314" s="93">
        <f t="shared" si="261"/>
        <v>0</v>
      </c>
      <c r="K314" s="93">
        <f t="shared" si="265"/>
        <v>0</v>
      </c>
      <c r="L314" s="153" t="e">
        <f t="shared" si="263"/>
        <v>#DIV/0!</v>
      </c>
      <c r="M314" s="124"/>
      <c r="N314" s="61">
        <f t="shared" si="264"/>
        <v>0</v>
      </c>
      <c r="O314" s="1"/>
      <c r="P314" s="1"/>
      <c r="Q314" s="1"/>
      <c r="R314" s="1"/>
    </row>
    <row r="315" spans="1:21" ht="16.5" thickBot="1" x14ac:dyDescent="0.3">
      <c r="A315" s="51"/>
      <c r="B315" s="78"/>
      <c r="C315" s="77"/>
      <c r="D315" s="77" t="s">
        <v>17</v>
      </c>
      <c r="E315" s="77">
        <f>SUM(E307:E312)</f>
        <v>0</v>
      </c>
      <c r="F315" s="77"/>
      <c r="G315" s="79" t="e">
        <f>AVERAGE(G307:G312)</f>
        <v>#DIV/0!</v>
      </c>
      <c r="H315" s="77"/>
      <c r="I315" s="80"/>
      <c r="J315" s="77">
        <f t="shared" ref="J315:K315" si="266">SUM(J307:J312)</f>
        <v>0</v>
      </c>
      <c r="K315" s="77">
        <f t="shared" si="266"/>
        <v>0</v>
      </c>
      <c r="L315" s="79" t="e">
        <f>AVERAGE(L307:L312)</f>
        <v>#DIV/0!</v>
      </c>
      <c r="M315" s="78"/>
      <c r="N315" s="81">
        <f>SUM(N307:N314)</f>
        <v>18290500</v>
      </c>
      <c r="O315" s="1"/>
      <c r="P315" s="1"/>
      <c r="Q315" s="1"/>
      <c r="R315" s="1"/>
    </row>
    <row r="316" spans="1:21" ht="16.5" thickBot="1" x14ac:dyDescent="0.3">
      <c r="A316" s="51">
        <v>46242</v>
      </c>
      <c r="B316" s="208" t="s">
        <v>69</v>
      </c>
      <c r="C316" s="93">
        <v>163334</v>
      </c>
      <c r="D316" s="93">
        <v>164262</v>
      </c>
      <c r="E316" s="82">
        <f t="shared" ref="E316:E321" si="267">D316-C316</f>
        <v>928</v>
      </c>
      <c r="F316" s="54">
        <v>297.02</v>
      </c>
      <c r="G316" s="21">
        <f t="shared" ref="G316:G321" si="268">(F316/E316)*100</f>
        <v>32.006465517241381</v>
      </c>
      <c r="H316" s="93">
        <v>162903</v>
      </c>
      <c r="I316" s="93">
        <v>163808</v>
      </c>
      <c r="J316" s="52">
        <f t="shared" ref="J316:J321" si="269">I316-H316</f>
        <v>905</v>
      </c>
      <c r="K316" s="52">
        <f t="shared" ref="K316:K321" si="270">F316</f>
        <v>297.02</v>
      </c>
      <c r="L316" s="153">
        <f t="shared" ref="L316:L321" si="271">(K316/J316)*100</f>
        <v>32.819889502762429</v>
      </c>
      <c r="M316" s="56">
        <v>27540</v>
      </c>
      <c r="N316" s="61">
        <f t="shared" ref="N316:N321" si="272">M316*F316</f>
        <v>8179930.7999999998</v>
      </c>
      <c r="O316" s="1"/>
      <c r="P316" s="1"/>
      <c r="Q316" s="1"/>
      <c r="R316" s="1"/>
    </row>
    <row r="317" spans="1:21" x14ac:dyDescent="0.25">
      <c r="A317" s="51">
        <v>46254</v>
      </c>
      <c r="B317" s="208" t="s">
        <v>69</v>
      </c>
      <c r="C317" s="93">
        <v>164262</v>
      </c>
      <c r="D317" s="19">
        <v>165248</v>
      </c>
      <c r="E317" s="20">
        <f t="shared" si="267"/>
        <v>986</v>
      </c>
      <c r="F317" s="59">
        <v>295.99</v>
      </c>
      <c r="G317" s="21">
        <f t="shared" si="268"/>
        <v>30.019269776876268</v>
      </c>
      <c r="H317" s="93">
        <v>163808</v>
      </c>
      <c r="I317" s="93">
        <v>164728</v>
      </c>
      <c r="J317" s="52">
        <f t="shared" si="269"/>
        <v>920</v>
      </c>
      <c r="K317" s="53">
        <f t="shared" si="270"/>
        <v>295.99</v>
      </c>
      <c r="L317" s="153">
        <f t="shared" si="271"/>
        <v>32.172826086956526</v>
      </c>
      <c r="M317" s="56">
        <v>27230</v>
      </c>
      <c r="N317" s="61">
        <f t="shared" si="272"/>
        <v>8059807.7000000002</v>
      </c>
      <c r="O317" s="1"/>
      <c r="P317" s="1"/>
      <c r="Q317" s="1"/>
      <c r="R317" s="1"/>
    </row>
    <row r="318" spans="1:21" x14ac:dyDescent="0.25">
      <c r="A318" s="62">
        <v>46263</v>
      </c>
      <c r="B318" s="208" t="s">
        <v>69</v>
      </c>
      <c r="C318" s="19">
        <v>165248</v>
      </c>
      <c r="D318" s="93">
        <v>165986</v>
      </c>
      <c r="E318" s="20">
        <f t="shared" si="267"/>
        <v>738</v>
      </c>
      <c r="F318" s="59">
        <v>272.43</v>
      </c>
      <c r="G318" s="21">
        <f t="shared" si="268"/>
        <v>36.914634146341463</v>
      </c>
      <c r="H318" s="93">
        <v>164728</v>
      </c>
      <c r="I318" s="93">
        <v>165402</v>
      </c>
      <c r="J318" s="93">
        <f t="shared" si="269"/>
        <v>674</v>
      </c>
      <c r="K318" s="53">
        <f t="shared" si="270"/>
        <v>272.43</v>
      </c>
      <c r="L318" s="153">
        <f t="shared" si="271"/>
        <v>40.419881305637986</v>
      </c>
      <c r="M318" s="124">
        <v>28080</v>
      </c>
      <c r="N318" s="61">
        <f t="shared" si="272"/>
        <v>7649834.4000000004</v>
      </c>
      <c r="O318" s="1"/>
      <c r="P318" s="1"/>
      <c r="Q318" s="1"/>
      <c r="R318" s="1"/>
    </row>
    <row r="319" spans="1:21" x14ac:dyDescent="0.25">
      <c r="A319" s="62"/>
      <c r="B319" s="208" t="s">
        <v>69</v>
      </c>
      <c r="C319" s="93"/>
      <c r="D319" s="93"/>
      <c r="E319" s="20">
        <f t="shared" si="267"/>
        <v>0</v>
      </c>
      <c r="F319" s="59"/>
      <c r="G319" s="21" t="e">
        <f t="shared" si="268"/>
        <v>#DIV/0!</v>
      </c>
      <c r="H319" s="93"/>
      <c r="I319" s="93"/>
      <c r="J319" s="93">
        <f t="shared" si="269"/>
        <v>0</v>
      </c>
      <c r="K319" s="53">
        <f t="shared" si="270"/>
        <v>0</v>
      </c>
      <c r="L319" s="153" t="e">
        <f t="shared" si="271"/>
        <v>#DIV/0!</v>
      </c>
      <c r="M319" s="124"/>
      <c r="N319" s="61">
        <f t="shared" si="272"/>
        <v>0</v>
      </c>
      <c r="O319" s="1"/>
      <c r="P319" s="1"/>
      <c r="Q319" s="1"/>
      <c r="R319" s="1"/>
    </row>
    <row r="320" spans="1:21" x14ac:dyDescent="0.25">
      <c r="A320" s="62"/>
      <c r="B320" s="208" t="s">
        <v>69</v>
      </c>
      <c r="C320" s="53"/>
      <c r="D320" s="93"/>
      <c r="E320" s="20">
        <f t="shared" si="267"/>
        <v>0</v>
      </c>
      <c r="F320" s="59"/>
      <c r="G320" s="21" t="e">
        <f t="shared" si="268"/>
        <v>#DIV/0!</v>
      </c>
      <c r="H320" s="93"/>
      <c r="I320" s="137"/>
      <c r="J320" s="93">
        <f t="shared" si="269"/>
        <v>0</v>
      </c>
      <c r="K320" s="53">
        <f t="shared" si="270"/>
        <v>0</v>
      </c>
      <c r="L320" s="153" t="e">
        <f t="shared" si="271"/>
        <v>#DIV/0!</v>
      </c>
      <c r="M320" s="124"/>
      <c r="N320" s="61">
        <f t="shared" si="272"/>
        <v>0</v>
      </c>
      <c r="O320" s="1"/>
      <c r="P320" s="1"/>
      <c r="Q320" s="1"/>
      <c r="R320" s="1"/>
    </row>
    <row r="321" spans="1:18" ht="16.5" thickBot="1" x14ac:dyDescent="0.3">
      <c r="A321" s="58"/>
      <c r="B321" s="208" t="s">
        <v>69</v>
      </c>
      <c r="C321" s="93"/>
      <c r="D321" s="93"/>
      <c r="E321" s="20">
        <f t="shared" si="267"/>
        <v>0</v>
      </c>
      <c r="F321" s="59"/>
      <c r="G321" s="21" t="e">
        <f t="shared" si="268"/>
        <v>#DIV/0!</v>
      </c>
      <c r="H321" s="93"/>
      <c r="I321" s="137"/>
      <c r="J321" s="93">
        <f t="shared" si="269"/>
        <v>0</v>
      </c>
      <c r="K321" s="53">
        <f t="shared" si="270"/>
        <v>0</v>
      </c>
      <c r="L321" s="153" t="e">
        <f t="shared" si="271"/>
        <v>#DIV/0!</v>
      </c>
      <c r="M321" s="124"/>
      <c r="N321" s="61">
        <f t="shared" si="272"/>
        <v>0</v>
      </c>
      <c r="O321" s="1"/>
      <c r="P321" s="1"/>
      <c r="Q321" s="1"/>
      <c r="R321" s="1"/>
    </row>
    <row r="322" spans="1:18" ht="16.5" thickBot="1" x14ac:dyDescent="0.3">
      <c r="A322" s="77"/>
      <c r="B322" s="78"/>
      <c r="C322" s="77"/>
      <c r="D322" s="77" t="s">
        <v>17</v>
      </c>
      <c r="E322" s="77">
        <f>SUM(E316:E321)</f>
        <v>2652</v>
      </c>
      <c r="F322" s="77"/>
      <c r="G322" s="79" t="e">
        <f>AVERAGE(G316:G321)</f>
        <v>#DIV/0!</v>
      </c>
      <c r="H322" s="77"/>
      <c r="I322" s="80"/>
      <c r="J322" s="77">
        <f t="shared" ref="J322:K322" si="273">SUM(J316:J321)</f>
        <v>2499</v>
      </c>
      <c r="K322" s="77">
        <f t="shared" si="273"/>
        <v>865.44</v>
      </c>
      <c r="L322" s="79" t="e">
        <f>AVERAGE(L316:L321)</f>
        <v>#DIV/0!</v>
      </c>
      <c r="M322" s="78"/>
      <c r="N322" s="81">
        <f>SUM(N316:N321)</f>
        <v>23889572.899999999</v>
      </c>
      <c r="O322" s="1"/>
      <c r="P322" s="1"/>
      <c r="Q322" s="1"/>
      <c r="R322" s="1"/>
    </row>
    <row r="323" spans="1:18" ht="16.5" thickBot="1" x14ac:dyDescent="0.3">
      <c r="A323" s="51">
        <v>46237</v>
      </c>
      <c r="B323" s="208" t="s">
        <v>60</v>
      </c>
      <c r="C323" s="93">
        <v>19578</v>
      </c>
      <c r="D323" s="93">
        <v>20281</v>
      </c>
      <c r="E323" s="20">
        <f t="shared" ref="E323:E330" si="274">D323-C323</f>
        <v>703</v>
      </c>
      <c r="F323" s="54">
        <v>191.91</v>
      </c>
      <c r="G323" s="21">
        <f t="shared" ref="G323:G330" si="275">(F323/E323)*100</f>
        <v>27.298719772403985</v>
      </c>
      <c r="H323" s="137">
        <v>4774</v>
      </c>
      <c r="I323" s="137">
        <v>5477</v>
      </c>
      <c r="J323" s="52">
        <f t="shared" ref="J323:J330" si="276">I323-H323</f>
        <v>703</v>
      </c>
      <c r="K323" s="54">
        <f t="shared" ref="K323:K330" si="277">F323</f>
        <v>191.91</v>
      </c>
      <c r="L323" s="153">
        <f t="shared" ref="L323:L330" si="278">(K323/J323)*100</f>
        <v>27.298719772403985</v>
      </c>
      <c r="M323" s="56">
        <v>27620</v>
      </c>
      <c r="N323" s="61">
        <f t="shared" ref="N323:N330" si="279">M323*F323</f>
        <v>5300554.2</v>
      </c>
      <c r="O323" s="1"/>
      <c r="P323" s="1"/>
      <c r="Q323" s="1"/>
      <c r="R323" s="1"/>
    </row>
    <row r="324" spans="1:18" ht="16.5" thickBot="1" x14ac:dyDescent="0.3">
      <c r="A324" s="62">
        <v>46246</v>
      </c>
      <c r="B324" s="208" t="s">
        <v>60</v>
      </c>
      <c r="C324" s="93">
        <v>20281</v>
      </c>
      <c r="D324" s="19">
        <v>20848</v>
      </c>
      <c r="E324" s="20">
        <f t="shared" si="274"/>
        <v>567</v>
      </c>
      <c r="F324" s="59">
        <v>174.29</v>
      </c>
      <c r="G324" s="21">
        <f t="shared" si="275"/>
        <v>30.738977072310401</v>
      </c>
      <c r="H324" s="137">
        <v>5477</v>
      </c>
      <c r="I324" s="137">
        <v>5979</v>
      </c>
      <c r="J324" s="93">
        <f t="shared" si="276"/>
        <v>502</v>
      </c>
      <c r="K324" s="54">
        <f t="shared" si="277"/>
        <v>174.29</v>
      </c>
      <c r="L324" s="153">
        <f t="shared" si="278"/>
        <v>34.719123505976093</v>
      </c>
      <c r="M324" s="56">
        <v>27540</v>
      </c>
      <c r="N324" s="61">
        <f t="shared" si="279"/>
        <v>4799946.5999999996</v>
      </c>
      <c r="O324" s="1"/>
      <c r="P324" s="1"/>
      <c r="Q324" s="1"/>
      <c r="R324" s="1"/>
    </row>
    <row r="325" spans="1:18" ht="16.5" thickBot="1" x14ac:dyDescent="0.3">
      <c r="A325" s="62">
        <v>46252</v>
      </c>
      <c r="B325" s="208" t="s">
        <v>60</v>
      </c>
      <c r="C325" s="19">
        <v>20848</v>
      </c>
      <c r="D325" s="93">
        <v>21499</v>
      </c>
      <c r="E325" s="20">
        <f t="shared" si="274"/>
        <v>651</v>
      </c>
      <c r="F325" s="59">
        <v>194.65</v>
      </c>
      <c r="G325" s="21">
        <f t="shared" si="275"/>
        <v>29.900153609831033</v>
      </c>
      <c r="H325" s="137">
        <v>5979</v>
      </c>
      <c r="I325" s="137">
        <v>6581</v>
      </c>
      <c r="J325" s="93">
        <f t="shared" si="276"/>
        <v>602</v>
      </c>
      <c r="K325" s="54">
        <f t="shared" si="277"/>
        <v>194.65</v>
      </c>
      <c r="L325" s="153">
        <f t="shared" si="278"/>
        <v>32.333887043189371</v>
      </c>
      <c r="M325" s="56">
        <v>27230</v>
      </c>
      <c r="N325" s="61">
        <f t="shared" si="279"/>
        <v>5300319.5</v>
      </c>
      <c r="O325" s="1"/>
      <c r="P325" s="1"/>
      <c r="Q325" s="1"/>
      <c r="R325" s="1"/>
    </row>
    <row r="326" spans="1:18" ht="16.5" thickBot="1" x14ac:dyDescent="0.3">
      <c r="A326" s="62">
        <v>46259</v>
      </c>
      <c r="B326" s="208" t="s">
        <v>60</v>
      </c>
      <c r="C326" s="93">
        <v>21499</v>
      </c>
      <c r="D326" s="93">
        <v>22119</v>
      </c>
      <c r="E326" s="20">
        <f t="shared" si="274"/>
        <v>620</v>
      </c>
      <c r="F326" s="59">
        <v>192.73</v>
      </c>
      <c r="G326" s="21">
        <f t="shared" si="275"/>
        <v>31.085483870967739</v>
      </c>
      <c r="H326" s="137">
        <v>6581</v>
      </c>
      <c r="I326" s="137">
        <v>7217</v>
      </c>
      <c r="J326" s="93">
        <f t="shared" si="276"/>
        <v>636</v>
      </c>
      <c r="K326" s="54">
        <f t="shared" si="277"/>
        <v>192.73</v>
      </c>
      <c r="L326" s="153">
        <f t="shared" si="278"/>
        <v>30.303459119496857</v>
      </c>
      <c r="M326" s="124">
        <v>28540</v>
      </c>
      <c r="N326" s="61">
        <f t="shared" si="279"/>
        <v>5500514.1999999993</v>
      </c>
      <c r="O326" s="1"/>
      <c r="P326" s="1"/>
      <c r="Q326" s="1"/>
      <c r="R326" s="1"/>
    </row>
    <row r="327" spans="1:18" ht="16.5" thickBot="1" x14ac:dyDescent="0.3">
      <c r="A327" s="62"/>
      <c r="B327" s="208" t="s">
        <v>60</v>
      </c>
      <c r="C327" s="93"/>
      <c r="D327" s="93"/>
      <c r="E327" s="20">
        <f t="shared" si="274"/>
        <v>0</v>
      </c>
      <c r="F327" s="59"/>
      <c r="G327" s="21" t="e">
        <f t="shared" si="275"/>
        <v>#DIV/0!</v>
      </c>
      <c r="H327" s="137"/>
      <c r="I327" s="137"/>
      <c r="J327" s="93">
        <f t="shared" si="276"/>
        <v>0</v>
      </c>
      <c r="K327" s="54">
        <f t="shared" si="277"/>
        <v>0</v>
      </c>
      <c r="L327" s="153" t="e">
        <f t="shared" si="278"/>
        <v>#DIV/0!</v>
      </c>
      <c r="M327" s="124"/>
      <c r="N327" s="61">
        <f t="shared" si="279"/>
        <v>0</v>
      </c>
      <c r="O327" s="1"/>
      <c r="P327" s="1"/>
      <c r="Q327" s="1"/>
      <c r="R327" s="1"/>
    </row>
    <row r="328" spans="1:18" ht="16.5" thickBot="1" x14ac:dyDescent="0.3">
      <c r="A328" s="58"/>
      <c r="B328" s="208" t="s">
        <v>60</v>
      </c>
      <c r="C328" s="93"/>
      <c r="D328" s="93"/>
      <c r="E328" s="20">
        <f t="shared" si="274"/>
        <v>0</v>
      </c>
      <c r="F328" s="59"/>
      <c r="G328" s="21" t="e">
        <f t="shared" si="275"/>
        <v>#DIV/0!</v>
      </c>
      <c r="H328" s="137"/>
      <c r="I328" s="137"/>
      <c r="J328" s="93">
        <f t="shared" si="276"/>
        <v>0</v>
      </c>
      <c r="K328" s="54">
        <f t="shared" si="277"/>
        <v>0</v>
      </c>
      <c r="L328" s="153" t="e">
        <f t="shared" si="278"/>
        <v>#DIV/0!</v>
      </c>
      <c r="M328" s="124"/>
      <c r="N328" s="61">
        <f t="shared" si="279"/>
        <v>0</v>
      </c>
      <c r="O328" s="1"/>
      <c r="P328" s="1"/>
      <c r="Q328" s="1"/>
      <c r="R328" s="1"/>
    </row>
    <row r="329" spans="1:18" ht="16.5" thickBot="1" x14ac:dyDescent="0.3">
      <c r="A329" s="58"/>
      <c r="B329" s="208" t="s">
        <v>60</v>
      </c>
      <c r="C329" s="93"/>
      <c r="D329" s="93"/>
      <c r="E329" s="20">
        <f t="shared" si="274"/>
        <v>0</v>
      </c>
      <c r="F329" s="59"/>
      <c r="G329" s="21" t="e">
        <f t="shared" si="275"/>
        <v>#DIV/0!</v>
      </c>
      <c r="H329" s="137"/>
      <c r="I329" s="137"/>
      <c r="J329" s="93">
        <f t="shared" si="276"/>
        <v>0</v>
      </c>
      <c r="K329" s="54">
        <f t="shared" si="277"/>
        <v>0</v>
      </c>
      <c r="L329" s="153" t="e">
        <f t="shared" si="278"/>
        <v>#DIV/0!</v>
      </c>
      <c r="M329" s="124"/>
      <c r="N329" s="61">
        <f t="shared" si="279"/>
        <v>0</v>
      </c>
      <c r="O329" s="1"/>
      <c r="P329" s="1"/>
      <c r="Q329" s="1"/>
      <c r="R329" s="1"/>
    </row>
    <row r="330" spans="1:18" ht="16.5" thickBot="1" x14ac:dyDescent="0.3">
      <c r="A330" s="58"/>
      <c r="B330" s="208" t="s">
        <v>60</v>
      </c>
      <c r="C330" s="93"/>
      <c r="D330" s="93"/>
      <c r="E330" s="20">
        <f t="shared" si="274"/>
        <v>0</v>
      </c>
      <c r="F330" s="59"/>
      <c r="G330" s="21" t="e">
        <f t="shared" si="275"/>
        <v>#DIV/0!</v>
      </c>
      <c r="H330" s="137"/>
      <c r="I330" s="137"/>
      <c r="J330" s="93">
        <f t="shared" si="276"/>
        <v>0</v>
      </c>
      <c r="K330" s="54">
        <f t="shared" si="277"/>
        <v>0</v>
      </c>
      <c r="L330" s="153" t="e">
        <f t="shared" si="278"/>
        <v>#DIV/0!</v>
      </c>
      <c r="M330" s="124"/>
      <c r="N330" s="61">
        <f t="shared" si="279"/>
        <v>0</v>
      </c>
      <c r="O330" s="1"/>
      <c r="P330" s="1"/>
      <c r="Q330" s="1"/>
      <c r="R330" s="1"/>
    </row>
    <row r="331" spans="1:18" ht="16.5" thickBot="1" x14ac:dyDescent="0.3">
      <c r="A331" s="77"/>
      <c r="B331" s="78"/>
      <c r="C331" s="77"/>
      <c r="D331" s="77" t="s">
        <v>17</v>
      </c>
      <c r="E331" s="77">
        <f>SUM(E323:E328)</f>
        <v>2541</v>
      </c>
      <c r="F331" s="77"/>
      <c r="G331" s="79" t="e">
        <f>AVERAGE(G323:G328)</f>
        <v>#DIV/0!</v>
      </c>
      <c r="H331" s="77"/>
      <c r="I331" s="80"/>
      <c r="J331" s="77">
        <f t="shared" ref="J331:K331" si="280">SUM(J323:J328)</f>
        <v>2443</v>
      </c>
      <c r="K331" s="77">
        <f t="shared" si="280"/>
        <v>753.58</v>
      </c>
      <c r="L331" s="79" t="e">
        <f>AVERAGE(L323:L328)</f>
        <v>#DIV/0!</v>
      </c>
      <c r="M331" s="78"/>
      <c r="N331" s="81">
        <f>SUM(N323:N330)</f>
        <v>20901334.5</v>
      </c>
      <c r="O331" s="1"/>
      <c r="P331" s="1"/>
      <c r="Q331" s="1"/>
      <c r="R331" s="1"/>
    </row>
    <row r="332" spans="1:18" ht="16.5" thickBot="1" x14ac:dyDescent="0.3">
      <c r="A332" s="51">
        <v>46239</v>
      </c>
      <c r="B332" s="208" t="s">
        <v>61</v>
      </c>
      <c r="C332" s="93">
        <v>18591</v>
      </c>
      <c r="D332" s="93">
        <v>19102</v>
      </c>
      <c r="E332" s="20">
        <f t="shared" ref="E332:E340" si="281">D332-C332</f>
        <v>511</v>
      </c>
      <c r="F332" s="54">
        <v>173.78</v>
      </c>
      <c r="G332" s="21">
        <f t="shared" ref="G332:G340" si="282">(F332/E332)*100</f>
        <v>34.007827788649706</v>
      </c>
      <c r="H332" s="137">
        <v>18399</v>
      </c>
      <c r="I332" s="137">
        <v>18915</v>
      </c>
      <c r="J332" s="93">
        <f t="shared" ref="J332:J340" si="283">I332-H332</f>
        <v>516</v>
      </c>
      <c r="K332" s="52">
        <f t="shared" ref="K332:K340" si="284">F332</f>
        <v>173.78</v>
      </c>
      <c r="L332" s="153">
        <f t="shared" ref="L332:L340" si="285">(K332/J332)*100</f>
        <v>33.678294573643413</v>
      </c>
      <c r="M332" s="56">
        <v>27620</v>
      </c>
      <c r="N332" s="61">
        <f t="shared" ref="N332:N340" si="286">M332*F332</f>
        <v>4799803.5999999996</v>
      </c>
      <c r="O332" s="1"/>
      <c r="P332" s="1"/>
      <c r="Q332" s="1"/>
      <c r="R332" s="1"/>
    </row>
    <row r="333" spans="1:18" ht="16.5" thickBot="1" x14ac:dyDescent="0.3">
      <c r="A333" s="62">
        <v>46245</v>
      </c>
      <c r="B333" s="208" t="s">
        <v>61</v>
      </c>
      <c r="C333" s="93">
        <v>19102</v>
      </c>
      <c r="D333" s="19">
        <v>19690</v>
      </c>
      <c r="E333" s="20">
        <f t="shared" si="281"/>
        <v>588</v>
      </c>
      <c r="F333" s="59">
        <v>180.1</v>
      </c>
      <c r="G333" s="21">
        <f t="shared" si="282"/>
        <v>30.629251700680271</v>
      </c>
      <c r="H333" s="137">
        <v>18915</v>
      </c>
      <c r="I333" s="137">
        <v>19415</v>
      </c>
      <c r="J333" s="93">
        <f t="shared" si="283"/>
        <v>500</v>
      </c>
      <c r="K333" s="53">
        <f t="shared" si="284"/>
        <v>180.1</v>
      </c>
      <c r="L333" s="153">
        <f t="shared" si="285"/>
        <v>36.019999999999996</v>
      </c>
      <c r="M333" s="56">
        <v>27540</v>
      </c>
      <c r="N333" s="61">
        <f t="shared" si="286"/>
        <v>4959954</v>
      </c>
      <c r="O333" s="1"/>
      <c r="P333" s="1"/>
      <c r="Q333" s="1"/>
      <c r="R333" s="1"/>
    </row>
    <row r="334" spans="1:18" ht="16.5" thickBot="1" x14ac:dyDescent="0.3">
      <c r="A334" s="62">
        <v>46252</v>
      </c>
      <c r="B334" s="208" t="s">
        <v>61</v>
      </c>
      <c r="C334" s="19">
        <v>19690</v>
      </c>
      <c r="D334" s="93">
        <v>20276</v>
      </c>
      <c r="E334" s="20">
        <f t="shared" si="281"/>
        <v>586</v>
      </c>
      <c r="F334" s="59">
        <v>183.62</v>
      </c>
      <c r="G334" s="21">
        <f t="shared" si="282"/>
        <v>31.334470989761094</v>
      </c>
      <c r="H334" s="137">
        <v>19415</v>
      </c>
      <c r="I334" s="137">
        <v>20009</v>
      </c>
      <c r="J334" s="93">
        <f t="shared" si="283"/>
        <v>594</v>
      </c>
      <c r="K334" s="53">
        <f t="shared" si="284"/>
        <v>183.62</v>
      </c>
      <c r="L334" s="153">
        <f t="shared" si="285"/>
        <v>30.912457912457914</v>
      </c>
      <c r="M334" s="56">
        <v>27230</v>
      </c>
      <c r="N334" s="61">
        <f t="shared" si="286"/>
        <v>4999972.6000000006</v>
      </c>
      <c r="O334" s="1"/>
      <c r="P334" s="1"/>
      <c r="Q334" s="1"/>
      <c r="R334" s="1"/>
    </row>
    <row r="335" spans="1:18" ht="16.5" thickBot="1" x14ac:dyDescent="0.3">
      <c r="A335" s="62">
        <v>46254</v>
      </c>
      <c r="B335" s="208" t="s">
        <v>61</v>
      </c>
      <c r="C335" s="93">
        <v>20276</v>
      </c>
      <c r="D335" s="93">
        <v>20635</v>
      </c>
      <c r="E335" s="20">
        <f t="shared" si="281"/>
        <v>359</v>
      </c>
      <c r="F335" s="59">
        <v>105.17</v>
      </c>
      <c r="G335" s="21">
        <f t="shared" si="282"/>
        <v>29.295264623955429</v>
      </c>
      <c r="H335" s="137">
        <v>20009</v>
      </c>
      <c r="I335" s="137">
        <v>20367</v>
      </c>
      <c r="J335" s="93">
        <f t="shared" si="283"/>
        <v>358</v>
      </c>
      <c r="K335" s="53">
        <f t="shared" si="284"/>
        <v>105.17</v>
      </c>
      <c r="L335" s="153">
        <f t="shared" si="285"/>
        <v>29.377094972067042</v>
      </c>
      <c r="M335" s="56">
        <v>28540</v>
      </c>
      <c r="N335" s="61">
        <f t="shared" si="286"/>
        <v>3001551.8000000003</v>
      </c>
      <c r="O335" s="1"/>
      <c r="P335" s="1"/>
      <c r="Q335" s="1"/>
      <c r="R335" s="1"/>
    </row>
    <row r="336" spans="1:18" x14ac:dyDescent="0.25">
      <c r="A336" s="62">
        <v>46260</v>
      </c>
      <c r="B336" s="208" t="s">
        <v>61</v>
      </c>
      <c r="C336" s="93">
        <v>20635</v>
      </c>
      <c r="D336" s="93">
        <v>21199</v>
      </c>
      <c r="E336" s="20">
        <f t="shared" si="281"/>
        <v>564</v>
      </c>
      <c r="F336" s="59">
        <v>168.18</v>
      </c>
      <c r="G336" s="21">
        <f t="shared" si="282"/>
        <v>29.819148936170215</v>
      </c>
      <c r="H336" s="137">
        <v>20367</v>
      </c>
      <c r="I336" s="137">
        <v>20923</v>
      </c>
      <c r="J336" s="93">
        <f t="shared" si="283"/>
        <v>556</v>
      </c>
      <c r="K336" s="53">
        <f t="shared" si="284"/>
        <v>168.18</v>
      </c>
      <c r="L336" s="153">
        <f t="shared" si="285"/>
        <v>30.24820143884892</v>
      </c>
      <c r="M336" s="56">
        <v>28540</v>
      </c>
      <c r="N336" s="61">
        <f t="shared" si="286"/>
        <v>4799857.2</v>
      </c>
      <c r="O336" s="1"/>
      <c r="P336" s="1"/>
      <c r="Q336" s="1"/>
      <c r="R336" s="1"/>
    </row>
    <row r="337" spans="1:18" x14ac:dyDescent="0.25">
      <c r="A337" s="58"/>
      <c r="B337" s="208" t="s">
        <v>61</v>
      </c>
      <c r="C337" s="93"/>
      <c r="D337" s="93"/>
      <c r="E337" s="20">
        <f t="shared" si="281"/>
        <v>0</v>
      </c>
      <c r="F337" s="59"/>
      <c r="G337" s="21" t="e">
        <f t="shared" si="282"/>
        <v>#DIV/0!</v>
      </c>
      <c r="H337" s="137"/>
      <c r="I337" s="137"/>
      <c r="J337" s="93">
        <f t="shared" si="283"/>
        <v>0</v>
      </c>
      <c r="K337" s="53">
        <f t="shared" si="284"/>
        <v>0</v>
      </c>
      <c r="L337" s="153" t="e">
        <f t="shared" si="285"/>
        <v>#DIV/0!</v>
      </c>
      <c r="M337" s="124"/>
      <c r="N337" s="61">
        <f t="shared" si="286"/>
        <v>0</v>
      </c>
      <c r="O337" s="1"/>
      <c r="P337" s="1"/>
      <c r="Q337" s="1"/>
      <c r="R337" s="1"/>
    </row>
    <row r="338" spans="1:18" x14ac:dyDescent="0.25">
      <c r="A338" s="58"/>
      <c r="B338" s="208" t="s">
        <v>61</v>
      </c>
      <c r="C338" s="93"/>
      <c r="D338" s="93"/>
      <c r="E338" s="20">
        <f t="shared" si="281"/>
        <v>0</v>
      </c>
      <c r="F338" s="59"/>
      <c r="G338" s="21" t="e">
        <f t="shared" si="282"/>
        <v>#DIV/0!</v>
      </c>
      <c r="H338" s="137"/>
      <c r="I338" s="137"/>
      <c r="J338" s="93">
        <f t="shared" si="283"/>
        <v>0</v>
      </c>
      <c r="K338" s="53">
        <f t="shared" si="284"/>
        <v>0</v>
      </c>
      <c r="L338" s="153" t="e">
        <f t="shared" si="285"/>
        <v>#DIV/0!</v>
      </c>
      <c r="M338" s="124"/>
      <c r="N338" s="61">
        <f t="shared" si="286"/>
        <v>0</v>
      </c>
      <c r="O338" s="1"/>
      <c r="P338" s="1"/>
      <c r="Q338" s="1"/>
      <c r="R338" s="1"/>
    </row>
    <row r="339" spans="1:18" x14ac:dyDescent="0.25">
      <c r="A339" s="58"/>
      <c r="B339" s="208" t="s">
        <v>61</v>
      </c>
      <c r="C339" s="93"/>
      <c r="D339" s="93"/>
      <c r="E339" s="20">
        <f t="shared" si="281"/>
        <v>0</v>
      </c>
      <c r="F339" s="59"/>
      <c r="G339" s="21" t="e">
        <f t="shared" si="282"/>
        <v>#DIV/0!</v>
      </c>
      <c r="H339" s="137"/>
      <c r="I339" s="137"/>
      <c r="J339" s="93">
        <f t="shared" si="283"/>
        <v>0</v>
      </c>
      <c r="K339" s="53">
        <f t="shared" si="284"/>
        <v>0</v>
      </c>
      <c r="L339" s="153" t="e">
        <f t="shared" si="285"/>
        <v>#DIV/0!</v>
      </c>
      <c r="M339" s="124"/>
      <c r="N339" s="61">
        <f t="shared" si="286"/>
        <v>0</v>
      </c>
      <c r="O339" s="1"/>
      <c r="P339" s="1"/>
      <c r="Q339" s="1"/>
      <c r="R339" s="1"/>
    </row>
    <row r="340" spans="1:18" ht="16.5" thickBot="1" x14ac:dyDescent="0.3">
      <c r="A340" s="58"/>
      <c r="B340" s="208" t="s">
        <v>61</v>
      </c>
      <c r="C340" s="93"/>
      <c r="D340" s="93"/>
      <c r="E340" s="20">
        <f t="shared" si="281"/>
        <v>0</v>
      </c>
      <c r="F340" s="59"/>
      <c r="G340" s="21" t="e">
        <f t="shared" si="282"/>
        <v>#DIV/0!</v>
      </c>
      <c r="H340" s="137"/>
      <c r="I340" s="137"/>
      <c r="J340" s="93">
        <f t="shared" si="283"/>
        <v>0</v>
      </c>
      <c r="K340" s="53">
        <f t="shared" si="284"/>
        <v>0</v>
      </c>
      <c r="L340" s="153" t="e">
        <f t="shared" si="285"/>
        <v>#DIV/0!</v>
      </c>
      <c r="M340" s="124"/>
      <c r="N340" s="61">
        <f t="shared" si="286"/>
        <v>0</v>
      </c>
      <c r="O340" s="1"/>
      <c r="P340" s="1"/>
      <c r="Q340" s="1"/>
      <c r="R340" s="1"/>
    </row>
    <row r="341" spans="1:18" ht="16.5" thickBot="1" x14ac:dyDescent="0.3">
      <c r="A341" s="77"/>
      <c r="B341" s="78"/>
      <c r="C341" s="77"/>
      <c r="D341" s="77" t="s">
        <v>17</v>
      </c>
      <c r="E341" s="77">
        <f>SUM(E332:E337)</f>
        <v>2608</v>
      </c>
      <c r="F341" s="77"/>
      <c r="G341" s="79" t="e">
        <f>AVERAGE(G332:G337)</f>
        <v>#DIV/0!</v>
      </c>
      <c r="H341" s="77"/>
      <c r="I341" s="80"/>
      <c r="J341" s="77">
        <f t="shared" ref="J341:K341" si="287">SUM(J332:J337)</f>
        <v>2524</v>
      </c>
      <c r="K341" s="77">
        <f t="shared" si="287"/>
        <v>810.84999999999991</v>
      </c>
      <c r="L341" s="79" t="e">
        <f>AVERAGE(L332:L337)</f>
        <v>#DIV/0!</v>
      </c>
      <c r="M341" s="78"/>
      <c r="N341" s="81">
        <f>SUM(N332:N340)</f>
        <v>22561139.199999999</v>
      </c>
      <c r="O341" s="1"/>
      <c r="P341" s="1"/>
      <c r="Q341" s="1"/>
      <c r="R341" s="1"/>
    </row>
    <row r="342" spans="1:18" ht="16.5" thickBot="1" x14ac:dyDescent="0.3">
      <c r="A342" s="51">
        <v>46247</v>
      </c>
      <c r="B342" s="209" t="s">
        <v>62</v>
      </c>
      <c r="C342" s="93"/>
      <c r="D342" s="93"/>
      <c r="E342" s="20">
        <f t="shared" ref="E342:E347" si="288">D342-C342</f>
        <v>0</v>
      </c>
      <c r="F342" s="54"/>
      <c r="G342" s="21" t="e">
        <f t="shared" ref="G342:G347" si="289">(F342/E342)*100</f>
        <v>#DIV/0!</v>
      </c>
      <c r="H342" s="137"/>
      <c r="I342" s="137"/>
      <c r="J342" s="52">
        <f t="shared" ref="J342:J347" si="290">I342-H342</f>
        <v>0</v>
      </c>
      <c r="K342" s="52">
        <f t="shared" ref="K342:K347" si="291">F342</f>
        <v>0</v>
      </c>
      <c r="L342" s="153" t="e">
        <f t="shared" ref="L342:L347" si="292">(K342/J342)*100</f>
        <v>#DIV/0!</v>
      </c>
      <c r="M342" s="56"/>
      <c r="N342" s="61">
        <v>8500000</v>
      </c>
      <c r="O342" s="1"/>
      <c r="P342" s="1"/>
      <c r="Q342" s="1"/>
      <c r="R342" s="1"/>
    </row>
    <row r="343" spans="1:18" x14ac:dyDescent="0.25">
      <c r="A343" s="62"/>
      <c r="B343" s="209" t="s">
        <v>62</v>
      </c>
      <c r="C343" s="93"/>
      <c r="D343" s="19"/>
      <c r="E343" s="20">
        <f t="shared" si="288"/>
        <v>0</v>
      </c>
      <c r="F343" s="59"/>
      <c r="G343" s="21" t="e">
        <f t="shared" si="289"/>
        <v>#DIV/0!</v>
      </c>
      <c r="H343" s="137"/>
      <c r="I343" s="137"/>
      <c r="J343" s="93">
        <f t="shared" si="290"/>
        <v>0</v>
      </c>
      <c r="K343" s="53">
        <f t="shared" si="291"/>
        <v>0</v>
      </c>
      <c r="L343" s="153" t="e">
        <f t="shared" si="292"/>
        <v>#DIV/0!</v>
      </c>
      <c r="M343" s="56"/>
      <c r="N343" s="61">
        <f t="shared" ref="N343:N347" si="293">M343*K343</f>
        <v>0</v>
      </c>
      <c r="O343" s="1"/>
      <c r="P343" s="1"/>
      <c r="Q343" s="1"/>
      <c r="R343" s="1"/>
    </row>
    <row r="344" spans="1:18" x14ac:dyDescent="0.25">
      <c r="A344" s="62"/>
      <c r="B344" s="209" t="s">
        <v>62</v>
      </c>
      <c r="C344" s="19"/>
      <c r="D344" s="93"/>
      <c r="E344" s="20">
        <f t="shared" si="288"/>
        <v>0</v>
      </c>
      <c r="F344" s="59"/>
      <c r="G344" s="21" t="e">
        <f t="shared" si="289"/>
        <v>#DIV/0!</v>
      </c>
      <c r="H344" s="137"/>
      <c r="I344" s="137"/>
      <c r="J344" s="93">
        <f t="shared" si="290"/>
        <v>0</v>
      </c>
      <c r="K344" s="53">
        <f t="shared" si="291"/>
        <v>0</v>
      </c>
      <c r="L344" s="153" t="e">
        <f t="shared" si="292"/>
        <v>#DIV/0!</v>
      </c>
      <c r="M344" s="124"/>
      <c r="N344" s="61">
        <f t="shared" si="293"/>
        <v>0</v>
      </c>
      <c r="O344" s="1"/>
      <c r="P344" s="1"/>
      <c r="Q344" s="1"/>
      <c r="R344" s="1"/>
    </row>
    <row r="345" spans="1:18" x14ac:dyDescent="0.25">
      <c r="A345" s="62"/>
      <c r="B345" s="209" t="s">
        <v>62</v>
      </c>
      <c r="C345" s="93"/>
      <c r="D345" s="93"/>
      <c r="E345" s="20">
        <f t="shared" si="288"/>
        <v>0</v>
      </c>
      <c r="F345" s="59"/>
      <c r="G345" s="21" t="e">
        <f t="shared" si="289"/>
        <v>#DIV/0!</v>
      </c>
      <c r="H345" s="137"/>
      <c r="I345" s="137"/>
      <c r="J345" s="93">
        <f t="shared" si="290"/>
        <v>0</v>
      </c>
      <c r="K345" s="53">
        <f t="shared" si="291"/>
        <v>0</v>
      </c>
      <c r="L345" s="153" t="e">
        <f t="shared" si="292"/>
        <v>#DIV/0!</v>
      </c>
      <c r="M345" s="124"/>
      <c r="N345" s="61">
        <f t="shared" si="293"/>
        <v>0</v>
      </c>
      <c r="O345" s="1"/>
      <c r="P345" s="1"/>
      <c r="Q345" s="1"/>
      <c r="R345" s="1"/>
    </row>
    <row r="346" spans="1:18" x14ac:dyDescent="0.25">
      <c r="A346" s="62"/>
      <c r="B346" s="209" t="s">
        <v>62</v>
      </c>
      <c r="C346" s="53"/>
      <c r="D346" s="93"/>
      <c r="E346" s="20">
        <f t="shared" si="288"/>
        <v>0</v>
      </c>
      <c r="F346" s="59"/>
      <c r="G346" s="21" t="e">
        <f t="shared" si="289"/>
        <v>#DIV/0!</v>
      </c>
      <c r="H346" s="93"/>
      <c r="I346" s="137"/>
      <c r="J346" s="93">
        <f t="shared" si="290"/>
        <v>0</v>
      </c>
      <c r="K346" s="53">
        <f t="shared" si="291"/>
        <v>0</v>
      </c>
      <c r="L346" s="153" t="e">
        <f t="shared" si="292"/>
        <v>#DIV/0!</v>
      </c>
      <c r="M346" s="124"/>
      <c r="N346" s="61">
        <f t="shared" si="293"/>
        <v>0</v>
      </c>
      <c r="O346" s="1"/>
      <c r="P346" s="1"/>
      <c r="Q346" s="1"/>
      <c r="R346" s="1"/>
    </row>
    <row r="347" spans="1:18" ht="16.5" thickBot="1" x14ac:dyDescent="0.3">
      <c r="A347" s="58"/>
      <c r="B347" s="209" t="s">
        <v>62</v>
      </c>
      <c r="C347" s="93"/>
      <c r="D347" s="93"/>
      <c r="E347" s="20">
        <f t="shared" si="288"/>
        <v>0</v>
      </c>
      <c r="F347" s="59"/>
      <c r="G347" s="21" t="e">
        <f t="shared" si="289"/>
        <v>#DIV/0!</v>
      </c>
      <c r="H347" s="93"/>
      <c r="I347" s="137"/>
      <c r="J347" s="93">
        <f t="shared" si="290"/>
        <v>0</v>
      </c>
      <c r="K347" s="53">
        <f t="shared" si="291"/>
        <v>0</v>
      </c>
      <c r="L347" s="153" t="e">
        <f t="shared" si="292"/>
        <v>#DIV/0!</v>
      </c>
      <c r="M347" s="124"/>
      <c r="N347" s="61">
        <f t="shared" si="293"/>
        <v>0</v>
      </c>
      <c r="O347" s="1"/>
      <c r="P347" s="1"/>
      <c r="Q347" s="1"/>
      <c r="R347" s="1"/>
    </row>
    <row r="348" spans="1:18" ht="16.5" thickBot="1" x14ac:dyDescent="0.3">
      <c r="A348" s="77"/>
      <c r="B348" s="78"/>
      <c r="C348" s="77"/>
      <c r="D348" s="77" t="s">
        <v>17</v>
      </c>
      <c r="E348" s="77">
        <f>SUM(E342:E347)</f>
        <v>0</v>
      </c>
      <c r="F348" s="77"/>
      <c r="G348" s="79" t="e">
        <f>AVERAGE(G342:G347)</f>
        <v>#DIV/0!</v>
      </c>
      <c r="H348" s="77"/>
      <c r="I348" s="80"/>
      <c r="J348" s="77">
        <f t="shared" ref="J348:K348" si="294">SUM(J342:J347)</f>
        <v>0</v>
      </c>
      <c r="K348" s="77">
        <f t="shared" si="294"/>
        <v>0</v>
      </c>
      <c r="L348" s="79" t="e">
        <f>AVERAGE(L342:L347)</f>
        <v>#DIV/0!</v>
      </c>
      <c r="M348" s="78"/>
      <c r="N348" s="81">
        <f>SUM(N342:N347)</f>
        <v>8500000</v>
      </c>
      <c r="O348" s="1"/>
      <c r="P348" s="1"/>
      <c r="Q348" s="1"/>
      <c r="R348" s="1"/>
    </row>
    <row r="349" spans="1:18" ht="16.5" thickBot="1" x14ac:dyDescent="0.3">
      <c r="A349" s="51">
        <v>46235</v>
      </c>
      <c r="B349" s="209" t="s">
        <v>65</v>
      </c>
      <c r="C349" s="93"/>
      <c r="D349" s="93"/>
      <c r="E349" s="20">
        <f t="shared" ref="E349:E355" si="295">D349-C349</f>
        <v>0</v>
      </c>
      <c r="F349" s="54"/>
      <c r="G349" s="21" t="e">
        <f t="shared" ref="G349:G355" si="296">(F349/E349)*100</f>
        <v>#DIV/0!</v>
      </c>
      <c r="H349" s="137"/>
      <c r="I349" s="137"/>
      <c r="J349" s="52">
        <f t="shared" ref="J349:J355" si="297">I349-H349</f>
        <v>0</v>
      </c>
      <c r="K349" s="52">
        <f t="shared" ref="K349:K355" si="298">F349</f>
        <v>0</v>
      </c>
      <c r="L349" s="153" t="e">
        <f t="shared" ref="L349:L355" si="299">(K349/J349)*100</f>
        <v>#DIV/0!</v>
      </c>
      <c r="M349" s="56"/>
      <c r="N349" s="61">
        <v>4814000</v>
      </c>
      <c r="O349" s="1"/>
      <c r="P349" s="1"/>
      <c r="Q349" s="1"/>
      <c r="R349" s="1"/>
    </row>
    <row r="350" spans="1:18" x14ac:dyDescent="0.25">
      <c r="A350" s="62">
        <v>46239</v>
      </c>
      <c r="B350" s="209" t="s">
        <v>65</v>
      </c>
      <c r="C350" s="93"/>
      <c r="D350" s="19"/>
      <c r="E350" s="20">
        <f t="shared" si="295"/>
        <v>0</v>
      </c>
      <c r="F350" s="59"/>
      <c r="G350" s="21" t="e">
        <f t="shared" si="296"/>
        <v>#DIV/0!</v>
      </c>
      <c r="H350" s="137"/>
      <c r="I350" s="137"/>
      <c r="J350" s="93">
        <f t="shared" si="297"/>
        <v>0</v>
      </c>
      <c r="K350" s="53">
        <f t="shared" si="298"/>
        <v>0</v>
      </c>
      <c r="L350" s="153" t="e">
        <f t="shared" si="299"/>
        <v>#DIV/0!</v>
      </c>
      <c r="M350" s="56"/>
      <c r="N350" s="61">
        <v>4400000</v>
      </c>
      <c r="O350" s="1"/>
      <c r="P350" s="1"/>
      <c r="Q350" s="1"/>
      <c r="R350" s="1"/>
    </row>
    <row r="351" spans="1:18" x14ac:dyDescent="0.25">
      <c r="A351" s="62">
        <v>46244</v>
      </c>
      <c r="B351" s="209" t="s">
        <v>65</v>
      </c>
      <c r="C351" s="19"/>
      <c r="D351" s="93"/>
      <c r="E351" s="20">
        <f t="shared" si="295"/>
        <v>0</v>
      </c>
      <c r="F351" s="59"/>
      <c r="G351" s="21" t="e">
        <f t="shared" si="296"/>
        <v>#DIV/0!</v>
      </c>
      <c r="H351" s="137"/>
      <c r="I351" s="137"/>
      <c r="J351" s="93">
        <f t="shared" si="297"/>
        <v>0</v>
      </c>
      <c r="K351" s="53">
        <f t="shared" si="298"/>
        <v>0</v>
      </c>
      <c r="L351" s="153" t="e">
        <f t="shared" si="299"/>
        <v>#DIV/0!</v>
      </c>
      <c r="M351" s="124"/>
      <c r="N351" s="61">
        <v>4800000</v>
      </c>
      <c r="O351" s="1"/>
      <c r="P351" s="1"/>
      <c r="Q351" s="1"/>
      <c r="R351" s="1"/>
    </row>
    <row r="352" spans="1:18" x14ac:dyDescent="0.25">
      <c r="A352" s="62">
        <v>46249</v>
      </c>
      <c r="B352" s="209" t="s">
        <v>65</v>
      </c>
      <c r="C352" s="93"/>
      <c r="D352" s="93"/>
      <c r="E352" s="20">
        <f t="shared" si="295"/>
        <v>0</v>
      </c>
      <c r="F352" s="59"/>
      <c r="G352" s="21" t="e">
        <f t="shared" si="296"/>
        <v>#DIV/0!</v>
      </c>
      <c r="H352" s="137"/>
      <c r="I352" s="137"/>
      <c r="J352" s="93">
        <f t="shared" si="297"/>
        <v>0</v>
      </c>
      <c r="K352" s="53">
        <f t="shared" si="298"/>
        <v>0</v>
      </c>
      <c r="L352" s="153" t="e">
        <f t="shared" si="299"/>
        <v>#DIV/0!</v>
      </c>
      <c r="M352" s="124"/>
      <c r="N352" s="61">
        <v>4510000</v>
      </c>
      <c r="O352" s="1"/>
      <c r="P352" s="1"/>
      <c r="Q352" s="1"/>
      <c r="R352" s="1"/>
    </row>
    <row r="353" spans="1:18" x14ac:dyDescent="0.25">
      <c r="A353" s="62">
        <v>46254</v>
      </c>
      <c r="B353" s="209" t="s">
        <v>65</v>
      </c>
      <c r="C353" s="53"/>
      <c r="D353" s="93"/>
      <c r="E353" s="20">
        <f t="shared" si="295"/>
        <v>0</v>
      </c>
      <c r="F353" s="59"/>
      <c r="G353" s="21" t="e">
        <f t="shared" si="296"/>
        <v>#DIV/0!</v>
      </c>
      <c r="H353" s="93"/>
      <c r="I353" s="137"/>
      <c r="J353" s="93">
        <f t="shared" si="297"/>
        <v>0</v>
      </c>
      <c r="K353" s="53">
        <f t="shared" si="298"/>
        <v>0</v>
      </c>
      <c r="L353" s="153" t="e">
        <f t="shared" si="299"/>
        <v>#DIV/0!</v>
      </c>
      <c r="M353" s="124"/>
      <c r="N353" s="61">
        <v>5000000</v>
      </c>
      <c r="O353" s="1"/>
      <c r="P353" s="1"/>
      <c r="Q353" s="1"/>
      <c r="R353" s="1"/>
    </row>
    <row r="354" spans="1:18" x14ac:dyDescent="0.25">
      <c r="A354" s="58">
        <v>46258</v>
      </c>
      <c r="B354" s="209" t="s">
        <v>65</v>
      </c>
      <c r="C354" s="93"/>
      <c r="D354" s="93"/>
      <c r="E354" s="20">
        <f t="shared" si="295"/>
        <v>0</v>
      </c>
      <c r="F354" s="59"/>
      <c r="G354" s="21" t="e">
        <f t="shared" si="296"/>
        <v>#DIV/0!</v>
      </c>
      <c r="H354" s="93"/>
      <c r="I354" s="137"/>
      <c r="J354" s="93">
        <f t="shared" si="297"/>
        <v>0</v>
      </c>
      <c r="K354" s="53">
        <f t="shared" si="298"/>
        <v>0</v>
      </c>
      <c r="L354" s="153" t="e">
        <f t="shared" si="299"/>
        <v>#DIV/0!</v>
      </c>
      <c r="M354" s="124"/>
      <c r="N354" s="61">
        <v>5100000</v>
      </c>
      <c r="O354" s="1"/>
      <c r="P354" s="1"/>
      <c r="Q354" s="1"/>
      <c r="R354" s="1"/>
    </row>
    <row r="355" spans="1:18" ht="16.5" thickBot="1" x14ac:dyDescent="0.3">
      <c r="A355" s="58">
        <v>46263</v>
      </c>
      <c r="B355" s="209" t="s">
        <v>65</v>
      </c>
      <c r="C355" s="93"/>
      <c r="D355" s="93"/>
      <c r="E355" s="20">
        <f t="shared" si="295"/>
        <v>0</v>
      </c>
      <c r="F355" s="59"/>
      <c r="G355" s="21" t="e">
        <f t="shared" si="296"/>
        <v>#DIV/0!</v>
      </c>
      <c r="H355" s="93"/>
      <c r="I355" s="137"/>
      <c r="J355" s="93">
        <f t="shared" si="297"/>
        <v>0</v>
      </c>
      <c r="K355" s="53">
        <f t="shared" si="298"/>
        <v>0</v>
      </c>
      <c r="L355" s="153" t="e">
        <f t="shared" si="299"/>
        <v>#DIV/0!</v>
      </c>
      <c r="M355" s="124"/>
      <c r="N355" s="61">
        <v>4600000</v>
      </c>
      <c r="O355" s="1"/>
      <c r="P355" s="1"/>
      <c r="Q355" s="1"/>
      <c r="R355" s="1"/>
    </row>
    <row r="356" spans="1:18" ht="16.5" thickBot="1" x14ac:dyDescent="0.3">
      <c r="A356" s="77"/>
      <c r="B356" s="78"/>
      <c r="C356" s="77"/>
      <c r="D356" s="77" t="s">
        <v>17</v>
      </c>
      <c r="E356" s="77">
        <f>SUM(E349:E354)</f>
        <v>0</v>
      </c>
      <c r="F356" s="77"/>
      <c r="G356" s="79" t="e">
        <f>AVERAGE(G349:G354)</f>
        <v>#DIV/0!</v>
      </c>
      <c r="H356" s="77"/>
      <c r="I356" s="80"/>
      <c r="J356" s="77">
        <f t="shared" ref="J356:K356" si="300">SUM(J349:J354)</f>
        <v>0</v>
      </c>
      <c r="K356" s="77">
        <f t="shared" si="300"/>
        <v>0</v>
      </c>
      <c r="L356" s="79" t="e">
        <f>AVERAGE(L349:L354)</f>
        <v>#DIV/0!</v>
      </c>
      <c r="M356" s="78"/>
      <c r="N356" s="81">
        <f>SUM(N349:N355)</f>
        <v>33224000</v>
      </c>
      <c r="O356" s="1"/>
      <c r="P356" s="1"/>
      <c r="Q356" s="1"/>
      <c r="R356" s="1"/>
    </row>
    <row r="357" spans="1:18" ht="16.5" thickBot="1" x14ac:dyDescent="0.3">
      <c r="A357" s="51">
        <v>46254</v>
      </c>
      <c r="B357" s="209" t="s">
        <v>66</v>
      </c>
      <c r="C357" s="93"/>
      <c r="D357" s="93"/>
      <c r="E357" s="20">
        <f t="shared" ref="E357:E363" si="301">D357-C357</f>
        <v>0</v>
      </c>
      <c r="F357" s="54"/>
      <c r="G357" s="21" t="e">
        <f t="shared" ref="G357:G363" si="302">(F357/E357)*100</f>
        <v>#DIV/0!</v>
      </c>
      <c r="H357" s="137"/>
      <c r="I357" s="137"/>
      <c r="J357" s="52">
        <f t="shared" ref="J357:J363" si="303">I357-H357</f>
        <v>0</v>
      </c>
      <c r="K357" s="52">
        <f t="shared" ref="K357:K363" si="304">F357</f>
        <v>0</v>
      </c>
      <c r="L357" s="153" t="e">
        <f t="shared" ref="L357:L363" si="305">(K357/J357)*100</f>
        <v>#DIV/0!</v>
      </c>
      <c r="M357" s="56"/>
      <c r="N357" s="61">
        <v>10000000</v>
      </c>
      <c r="O357" s="1"/>
      <c r="P357" s="1"/>
      <c r="Q357" s="1"/>
      <c r="R357" s="1"/>
    </row>
    <row r="358" spans="1:18" x14ac:dyDescent="0.25">
      <c r="A358" s="62">
        <v>46261</v>
      </c>
      <c r="B358" s="209" t="s">
        <v>66</v>
      </c>
      <c r="C358" s="93"/>
      <c r="D358" s="19"/>
      <c r="E358" s="20">
        <f t="shared" si="301"/>
        <v>0</v>
      </c>
      <c r="F358" s="59"/>
      <c r="G358" s="21" t="e">
        <f t="shared" si="302"/>
        <v>#DIV/0!</v>
      </c>
      <c r="H358" s="137"/>
      <c r="I358" s="137"/>
      <c r="J358" s="93">
        <f t="shared" si="303"/>
        <v>0</v>
      </c>
      <c r="K358" s="53">
        <f t="shared" si="304"/>
        <v>0</v>
      </c>
      <c r="L358" s="153" t="e">
        <f t="shared" si="305"/>
        <v>#DIV/0!</v>
      </c>
      <c r="M358" s="56"/>
      <c r="N358" s="61">
        <v>11000000</v>
      </c>
      <c r="O358" s="1"/>
      <c r="P358" s="1"/>
      <c r="Q358" s="1"/>
      <c r="R358" s="1"/>
    </row>
    <row r="359" spans="1:18" x14ac:dyDescent="0.25">
      <c r="A359" s="62"/>
      <c r="B359" s="209" t="s">
        <v>66</v>
      </c>
      <c r="C359" s="19"/>
      <c r="D359" s="93"/>
      <c r="E359" s="20">
        <f t="shared" si="301"/>
        <v>0</v>
      </c>
      <c r="F359" s="59"/>
      <c r="G359" s="21" t="e">
        <f t="shared" si="302"/>
        <v>#DIV/0!</v>
      </c>
      <c r="H359" s="137"/>
      <c r="I359" s="137"/>
      <c r="J359" s="93">
        <f t="shared" si="303"/>
        <v>0</v>
      </c>
      <c r="K359" s="53">
        <f t="shared" si="304"/>
        <v>0</v>
      </c>
      <c r="L359" s="153" t="e">
        <f t="shared" si="305"/>
        <v>#DIV/0!</v>
      </c>
      <c r="M359" s="124"/>
      <c r="N359" s="61"/>
      <c r="O359" s="1"/>
      <c r="P359" s="1"/>
      <c r="Q359" s="1"/>
      <c r="R359" s="1"/>
    </row>
    <row r="360" spans="1:18" x14ac:dyDescent="0.25">
      <c r="A360" s="62"/>
      <c r="B360" s="209" t="s">
        <v>66</v>
      </c>
      <c r="C360" s="93"/>
      <c r="D360" s="93"/>
      <c r="E360" s="20">
        <f t="shared" si="301"/>
        <v>0</v>
      </c>
      <c r="F360" s="59"/>
      <c r="G360" s="21" t="e">
        <f t="shared" si="302"/>
        <v>#DIV/0!</v>
      </c>
      <c r="H360" s="137"/>
      <c r="I360" s="137"/>
      <c r="J360" s="93">
        <f t="shared" si="303"/>
        <v>0</v>
      </c>
      <c r="K360" s="53">
        <f t="shared" si="304"/>
        <v>0</v>
      </c>
      <c r="L360" s="153" t="e">
        <f t="shared" si="305"/>
        <v>#DIV/0!</v>
      </c>
      <c r="M360" s="124"/>
      <c r="N360" s="61"/>
      <c r="O360" s="1"/>
      <c r="P360" s="1"/>
      <c r="Q360" s="1"/>
      <c r="R360" s="1"/>
    </row>
    <row r="361" spans="1:18" x14ac:dyDescent="0.25">
      <c r="A361" s="62"/>
      <c r="B361" s="209" t="s">
        <v>66</v>
      </c>
      <c r="C361" s="53"/>
      <c r="D361" s="93"/>
      <c r="E361" s="20">
        <f t="shared" si="301"/>
        <v>0</v>
      </c>
      <c r="F361" s="59"/>
      <c r="G361" s="21" t="e">
        <f t="shared" si="302"/>
        <v>#DIV/0!</v>
      </c>
      <c r="H361" s="93"/>
      <c r="I361" s="137"/>
      <c r="J361" s="93">
        <f t="shared" si="303"/>
        <v>0</v>
      </c>
      <c r="K361" s="53">
        <f t="shared" si="304"/>
        <v>0</v>
      </c>
      <c r="L361" s="153" t="e">
        <f t="shared" si="305"/>
        <v>#DIV/0!</v>
      </c>
      <c r="M361" s="124"/>
      <c r="N361" s="61"/>
      <c r="O361" s="1"/>
      <c r="P361" s="1"/>
      <c r="Q361" s="1"/>
      <c r="R361" s="1"/>
    </row>
    <row r="362" spans="1:18" x14ac:dyDescent="0.25">
      <c r="A362" s="58"/>
      <c r="B362" s="209" t="s">
        <v>66</v>
      </c>
      <c r="C362" s="93"/>
      <c r="D362" s="93"/>
      <c r="E362" s="20">
        <f t="shared" si="301"/>
        <v>0</v>
      </c>
      <c r="F362" s="59"/>
      <c r="G362" s="21" t="e">
        <f t="shared" si="302"/>
        <v>#DIV/0!</v>
      </c>
      <c r="H362" s="93"/>
      <c r="I362" s="137"/>
      <c r="J362" s="93">
        <f t="shared" si="303"/>
        <v>0</v>
      </c>
      <c r="K362" s="53">
        <f t="shared" si="304"/>
        <v>0</v>
      </c>
      <c r="L362" s="153" t="e">
        <f t="shared" si="305"/>
        <v>#DIV/0!</v>
      </c>
      <c r="M362" s="124"/>
      <c r="N362" s="61"/>
      <c r="O362" s="1"/>
      <c r="P362" s="1"/>
      <c r="Q362" s="1"/>
      <c r="R362" s="1"/>
    </row>
    <row r="363" spans="1:18" ht="16.5" thickBot="1" x14ac:dyDescent="0.3">
      <c r="A363" s="58"/>
      <c r="B363" s="209" t="s">
        <v>66</v>
      </c>
      <c r="C363" s="93"/>
      <c r="D363" s="93"/>
      <c r="E363" s="20">
        <f t="shared" si="301"/>
        <v>0</v>
      </c>
      <c r="F363" s="59"/>
      <c r="G363" s="21" t="e">
        <f t="shared" si="302"/>
        <v>#DIV/0!</v>
      </c>
      <c r="H363" s="93"/>
      <c r="I363" s="137"/>
      <c r="J363" s="93">
        <f t="shared" si="303"/>
        <v>0</v>
      </c>
      <c r="K363" s="53">
        <f t="shared" si="304"/>
        <v>0</v>
      </c>
      <c r="L363" s="153" t="e">
        <f t="shared" si="305"/>
        <v>#DIV/0!</v>
      </c>
      <c r="M363" s="124"/>
      <c r="N363" s="61"/>
      <c r="O363" s="1"/>
      <c r="P363" s="1"/>
      <c r="Q363" s="1"/>
      <c r="R363" s="1"/>
    </row>
    <row r="364" spans="1:18" ht="16.5" thickBot="1" x14ac:dyDescent="0.3">
      <c r="A364" s="77"/>
      <c r="B364" s="78"/>
      <c r="C364" s="77"/>
      <c r="D364" s="77" t="s">
        <v>17</v>
      </c>
      <c r="E364" s="77">
        <f>SUM(E357:E362)</f>
        <v>0</v>
      </c>
      <c r="F364" s="77"/>
      <c r="G364" s="79" t="e">
        <f>AVERAGE(G357:G362)</f>
        <v>#DIV/0!</v>
      </c>
      <c r="H364" s="77"/>
      <c r="I364" s="80"/>
      <c r="J364" s="77">
        <f t="shared" ref="J364:K364" si="306">SUM(J357:J362)</f>
        <v>0</v>
      </c>
      <c r="K364" s="77">
        <f t="shared" si="306"/>
        <v>0</v>
      </c>
      <c r="L364" s="79" t="e">
        <f>AVERAGE(L357:L362)</f>
        <v>#DIV/0!</v>
      </c>
      <c r="M364" s="78"/>
      <c r="N364" s="81">
        <f>SUM(N357:N363)</f>
        <v>21000000</v>
      </c>
      <c r="O364" s="1"/>
      <c r="P364" s="1"/>
      <c r="Q364" s="1"/>
      <c r="R364" s="1"/>
    </row>
    <row r="365" spans="1:18" ht="16.5" thickBot="1" x14ac:dyDescent="0.3">
      <c r="A365" s="51">
        <v>46238</v>
      </c>
      <c r="B365" s="208" t="s">
        <v>63</v>
      </c>
      <c r="C365" s="93">
        <v>24811</v>
      </c>
      <c r="D365" s="93">
        <v>25647</v>
      </c>
      <c r="E365" s="20">
        <f t="shared" ref="E365:E373" si="307">D365-C365</f>
        <v>836</v>
      </c>
      <c r="F365" s="54">
        <v>202.75</v>
      </c>
      <c r="G365" s="21">
        <f t="shared" ref="G365:G373" si="308">(F365/E365)*100</f>
        <v>24.252392344497608</v>
      </c>
      <c r="H365" s="137"/>
      <c r="I365" s="137"/>
      <c r="J365" s="52">
        <f t="shared" ref="J365:J373" si="309">I365-H365</f>
        <v>0</v>
      </c>
      <c r="K365" s="52">
        <f t="shared" ref="K365:K373" si="310">F365</f>
        <v>202.75</v>
      </c>
      <c r="L365" s="153" t="e">
        <f t="shared" ref="L365:L373" si="311">(K365/J365)*100</f>
        <v>#DIV/0!</v>
      </c>
      <c r="M365" s="56">
        <v>27620</v>
      </c>
      <c r="N365" s="61">
        <f t="shared" ref="N365:N373" si="312">M365*F365</f>
        <v>5599955</v>
      </c>
      <c r="O365" s="1"/>
      <c r="P365" s="1"/>
      <c r="Q365" s="1"/>
      <c r="R365" s="1"/>
    </row>
    <row r="366" spans="1:18" x14ac:dyDescent="0.25">
      <c r="A366" s="62">
        <v>46247</v>
      </c>
      <c r="B366" s="208" t="s">
        <v>63</v>
      </c>
      <c r="C366" s="93">
        <v>25647</v>
      </c>
      <c r="D366" s="19">
        <v>26520</v>
      </c>
      <c r="E366" s="20">
        <f t="shared" si="307"/>
        <v>873</v>
      </c>
      <c r="F366" s="59">
        <v>243.29</v>
      </c>
      <c r="G366" s="21">
        <f t="shared" si="308"/>
        <v>27.868270332187855</v>
      </c>
      <c r="H366" s="137"/>
      <c r="I366" s="137"/>
      <c r="J366" s="93">
        <f t="shared" si="309"/>
        <v>0</v>
      </c>
      <c r="K366" s="52">
        <f t="shared" si="310"/>
        <v>243.29</v>
      </c>
      <c r="L366" s="153" t="e">
        <f t="shared" si="311"/>
        <v>#DIV/0!</v>
      </c>
      <c r="M366" s="56">
        <v>27540</v>
      </c>
      <c r="N366" s="61">
        <f t="shared" si="312"/>
        <v>6700206.5999999996</v>
      </c>
      <c r="O366" s="1"/>
      <c r="P366" s="1"/>
      <c r="Q366" s="1"/>
      <c r="R366" s="1"/>
    </row>
    <row r="367" spans="1:18" x14ac:dyDescent="0.25">
      <c r="A367" s="62">
        <v>46252</v>
      </c>
      <c r="B367" s="208" t="s">
        <v>63</v>
      </c>
      <c r="C367" s="19">
        <v>26520</v>
      </c>
      <c r="D367" s="93">
        <v>27402</v>
      </c>
      <c r="E367" s="20">
        <f t="shared" si="307"/>
        <v>882</v>
      </c>
      <c r="F367" s="59">
        <v>231.36</v>
      </c>
      <c r="G367" s="21">
        <f t="shared" si="308"/>
        <v>26.231292517006803</v>
      </c>
      <c r="H367" s="137"/>
      <c r="I367" s="137"/>
      <c r="J367" s="93">
        <f t="shared" si="309"/>
        <v>0</v>
      </c>
      <c r="K367" s="53">
        <f t="shared" si="310"/>
        <v>231.36</v>
      </c>
      <c r="L367" s="153" t="e">
        <f t="shared" si="311"/>
        <v>#DIV/0!</v>
      </c>
      <c r="M367" s="124">
        <v>27230</v>
      </c>
      <c r="N367" s="61">
        <f t="shared" si="312"/>
        <v>6299932.8000000007</v>
      </c>
      <c r="O367" s="1"/>
      <c r="P367" s="1"/>
      <c r="Q367" s="1"/>
      <c r="R367" s="1"/>
    </row>
    <row r="368" spans="1:18" x14ac:dyDescent="0.25">
      <c r="A368" s="62">
        <v>46259</v>
      </c>
      <c r="B368" s="208" t="s">
        <v>63</v>
      </c>
      <c r="C368" s="93">
        <v>27402</v>
      </c>
      <c r="D368" s="93">
        <v>28300</v>
      </c>
      <c r="E368" s="20">
        <f t="shared" si="307"/>
        <v>898</v>
      </c>
      <c r="F368" s="59">
        <v>227.75</v>
      </c>
      <c r="G368" s="210">
        <f t="shared" si="308"/>
        <v>25.361915367483295</v>
      </c>
      <c r="H368" s="137"/>
      <c r="I368" s="137"/>
      <c r="J368" s="93">
        <f t="shared" si="309"/>
        <v>0</v>
      </c>
      <c r="K368" s="53">
        <f t="shared" si="310"/>
        <v>227.75</v>
      </c>
      <c r="L368" s="153" t="e">
        <f t="shared" si="311"/>
        <v>#DIV/0!</v>
      </c>
      <c r="M368" s="124">
        <v>28540</v>
      </c>
      <c r="N368" s="61">
        <f t="shared" si="312"/>
        <v>6499985</v>
      </c>
      <c r="O368" s="1"/>
      <c r="P368" s="1"/>
      <c r="Q368" s="1"/>
      <c r="R368" s="1"/>
    </row>
    <row r="369" spans="1:18" x14ac:dyDescent="0.25">
      <c r="A369" s="62">
        <v>46260</v>
      </c>
      <c r="B369" s="208" t="s">
        <v>63</v>
      </c>
      <c r="C369" s="93">
        <v>28300</v>
      </c>
      <c r="D369" s="93">
        <v>28454</v>
      </c>
      <c r="E369" s="20">
        <f t="shared" si="307"/>
        <v>154</v>
      </c>
      <c r="F369" s="59">
        <v>45.55</v>
      </c>
      <c r="G369" s="21">
        <f t="shared" si="308"/>
        <v>29.577922077922075</v>
      </c>
      <c r="H369" s="93"/>
      <c r="I369" s="137"/>
      <c r="J369" s="93">
        <f t="shared" si="309"/>
        <v>0</v>
      </c>
      <c r="K369" s="53">
        <f t="shared" si="310"/>
        <v>45.55</v>
      </c>
      <c r="L369" s="153" t="e">
        <f t="shared" si="311"/>
        <v>#DIV/0!</v>
      </c>
      <c r="M369" s="124">
        <v>28540</v>
      </c>
      <c r="N369" s="61">
        <f t="shared" si="312"/>
        <v>1299997</v>
      </c>
      <c r="O369" s="1"/>
      <c r="P369" s="1"/>
      <c r="Q369" s="1"/>
      <c r="R369" s="1"/>
    </row>
    <row r="370" spans="1:18" x14ac:dyDescent="0.25">
      <c r="A370" s="58">
        <v>46265</v>
      </c>
      <c r="B370" s="208" t="s">
        <v>63</v>
      </c>
      <c r="C370" s="93">
        <v>28454</v>
      </c>
      <c r="D370" s="93">
        <v>29369</v>
      </c>
      <c r="E370" s="20">
        <f t="shared" si="307"/>
        <v>915</v>
      </c>
      <c r="F370" s="59">
        <v>221.4</v>
      </c>
      <c r="G370" s="21">
        <f t="shared" si="308"/>
        <v>24.196721311475411</v>
      </c>
      <c r="H370" s="93"/>
      <c r="I370" s="137"/>
      <c r="J370" s="93">
        <f t="shared" si="309"/>
        <v>0</v>
      </c>
      <c r="K370" s="53">
        <f t="shared" si="310"/>
        <v>221.4</v>
      </c>
      <c r="L370" s="153" t="e">
        <f t="shared" si="311"/>
        <v>#DIV/0!</v>
      </c>
      <c r="M370" s="124">
        <v>28080</v>
      </c>
      <c r="N370" s="61">
        <f t="shared" si="312"/>
        <v>6216912</v>
      </c>
      <c r="O370" s="1"/>
      <c r="P370" s="1"/>
      <c r="Q370" s="1"/>
      <c r="R370" s="1"/>
    </row>
    <row r="371" spans="1:18" x14ac:dyDescent="0.25">
      <c r="A371" s="58"/>
      <c r="B371" s="208" t="s">
        <v>63</v>
      </c>
      <c r="C371" s="93"/>
      <c r="D371" s="93"/>
      <c r="E371" s="20">
        <f t="shared" si="307"/>
        <v>0</v>
      </c>
      <c r="F371" s="59"/>
      <c r="G371" s="21" t="e">
        <f t="shared" si="308"/>
        <v>#DIV/0!</v>
      </c>
      <c r="H371" s="93"/>
      <c r="I371" s="137"/>
      <c r="J371" s="93">
        <f t="shared" si="309"/>
        <v>0</v>
      </c>
      <c r="K371" s="53">
        <f t="shared" si="310"/>
        <v>0</v>
      </c>
      <c r="L371" s="153" t="e">
        <f t="shared" si="311"/>
        <v>#DIV/0!</v>
      </c>
      <c r="M371" s="124"/>
      <c r="N371" s="61">
        <f t="shared" si="312"/>
        <v>0</v>
      </c>
      <c r="O371" s="1"/>
      <c r="P371" s="1"/>
      <c r="Q371" s="1"/>
      <c r="R371" s="1"/>
    </row>
    <row r="372" spans="1:18" x14ac:dyDescent="0.25">
      <c r="A372" s="58"/>
      <c r="B372" s="208" t="s">
        <v>63</v>
      </c>
      <c r="C372" s="93"/>
      <c r="D372" s="93"/>
      <c r="E372" s="20">
        <f t="shared" si="307"/>
        <v>0</v>
      </c>
      <c r="F372" s="59"/>
      <c r="G372" s="21" t="e">
        <f t="shared" si="308"/>
        <v>#DIV/0!</v>
      </c>
      <c r="H372" s="93"/>
      <c r="I372" s="137"/>
      <c r="J372" s="93">
        <f t="shared" si="309"/>
        <v>0</v>
      </c>
      <c r="K372" s="53">
        <f t="shared" si="310"/>
        <v>0</v>
      </c>
      <c r="L372" s="153" t="e">
        <f t="shared" si="311"/>
        <v>#DIV/0!</v>
      </c>
      <c r="M372" s="124"/>
      <c r="N372" s="61">
        <f t="shared" si="312"/>
        <v>0</v>
      </c>
      <c r="O372" s="1"/>
      <c r="P372" s="1"/>
      <c r="Q372" s="1"/>
      <c r="R372" s="1"/>
    </row>
    <row r="373" spans="1:18" ht="16.5" thickBot="1" x14ac:dyDescent="0.3">
      <c r="A373" s="58"/>
      <c r="B373" s="208" t="s">
        <v>63</v>
      </c>
      <c r="C373" s="93"/>
      <c r="D373" s="93"/>
      <c r="E373" s="20">
        <f t="shared" si="307"/>
        <v>0</v>
      </c>
      <c r="F373" s="59"/>
      <c r="G373" s="21" t="e">
        <f t="shared" si="308"/>
        <v>#DIV/0!</v>
      </c>
      <c r="H373" s="93"/>
      <c r="I373" s="137"/>
      <c r="J373" s="93">
        <f t="shared" si="309"/>
        <v>0</v>
      </c>
      <c r="K373" s="53">
        <f t="shared" si="310"/>
        <v>0</v>
      </c>
      <c r="L373" s="153" t="e">
        <f t="shared" si="311"/>
        <v>#DIV/0!</v>
      </c>
      <c r="M373" s="124"/>
      <c r="N373" s="61">
        <f t="shared" si="312"/>
        <v>0</v>
      </c>
      <c r="O373" s="1"/>
      <c r="P373" s="1"/>
      <c r="Q373" s="1"/>
      <c r="R373" s="1"/>
    </row>
    <row r="374" spans="1:18" ht="16.5" thickBot="1" x14ac:dyDescent="0.3">
      <c r="A374" s="77"/>
      <c r="B374" s="78"/>
      <c r="C374" s="77"/>
      <c r="D374" s="77" t="s">
        <v>17</v>
      </c>
      <c r="E374" s="77">
        <f>SUM(E365:E370)</f>
        <v>4558</v>
      </c>
      <c r="F374" s="77"/>
      <c r="G374" s="79">
        <f>AVERAGE(G365:G370)</f>
        <v>26.248085658428838</v>
      </c>
      <c r="H374" s="77"/>
      <c r="I374" s="80"/>
      <c r="J374" s="77">
        <f t="shared" ref="J374:K374" si="313">SUM(J365:J370)</f>
        <v>0</v>
      </c>
      <c r="K374" s="77">
        <f t="shared" si="313"/>
        <v>1172.0999999999999</v>
      </c>
      <c r="L374" s="79" t="e">
        <f>AVERAGE(L365:L370)</f>
        <v>#DIV/0!</v>
      </c>
      <c r="M374" s="78"/>
      <c r="N374" s="81">
        <f>SUM(N365:N373)</f>
        <v>32616988.399999999</v>
      </c>
      <c r="O374" s="1"/>
      <c r="P374" s="1"/>
      <c r="Q374" s="1"/>
      <c r="R374" s="1"/>
    </row>
    <row r="375" spans="1:18" ht="16.5" thickBot="1" x14ac:dyDescent="0.3">
      <c r="A375" s="51">
        <v>46242</v>
      </c>
      <c r="B375" s="208" t="s">
        <v>64</v>
      </c>
      <c r="C375" s="93"/>
      <c r="D375" s="93"/>
      <c r="E375" s="20">
        <f t="shared" ref="E375:E380" si="314">D375-C375</f>
        <v>0</v>
      </c>
      <c r="F375" s="54">
        <v>226.94</v>
      </c>
      <c r="G375" s="21" t="e">
        <f t="shared" ref="G375:G380" si="315">(F375/E375)*100</f>
        <v>#DIV/0!</v>
      </c>
      <c r="H375" s="137"/>
      <c r="I375" s="137"/>
      <c r="J375" s="52">
        <f t="shared" ref="J375:J380" si="316">I375-H375</f>
        <v>0</v>
      </c>
      <c r="K375" s="52">
        <f t="shared" ref="K375:K380" si="317">F375</f>
        <v>226.94</v>
      </c>
      <c r="L375" s="153" t="e">
        <f t="shared" ref="L375:L380" si="318">(K375/J375)*100</f>
        <v>#DIV/0!</v>
      </c>
      <c r="M375" s="56">
        <v>27540</v>
      </c>
      <c r="N375" s="61">
        <f t="shared" ref="N375:N380" si="319">M375*K375</f>
        <v>6249927.5999999996</v>
      </c>
      <c r="O375" s="1"/>
      <c r="P375" s="1"/>
      <c r="Q375" s="1"/>
      <c r="R375" s="1"/>
    </row>
    <row r="376" spans="1:18" x14ac:dyDescent="0.25">
      <c r="A376" s="62">
        <v>46255</v>
      </c>
      <c r="B376" s="208" t="s">
        <v>64</v>
      </c>
      <c r="C376" s="93"/>
      <c r="D376" s="19"/>
      <c r="E376" s="20">
        <f t="shared" si="314"/>
        <v>0</v>
      </c>
      <c r="F376" s="59">
        <v>192.72</v>
      </c>
      <c r="G376" s="21" t="e">
        <f t="shared" si="315"/>
        <v>#DIV/0!</v>
      </c>
      <c r="H376" s="137"/>
      <c r="I376" s="137"/>
      <c r="J376" s="93">
        <f t="shared" si="316"/>
        <v>0</v>
      </c>
      <c r="K376" s="53">
        <f t="shared" si="317"/>
        <v>192.72</v>
      </c>
      <c r="L376" s="153" t="e">
        <f t="shared" si="318"/>
        <v>#DIV/0!</v>
      </c>
      <c r="M376" s="56">
        <v>28540</v>
      </c>
      <c r="N376" s="61">
        <f t="shared" si="319"/>
        <v>5500228.7999999998</v>
      </c>
      <c r="O376" s="1"/>
      <c r="P376" s="1"/>
      <c r="Q376" s="1"/>
      <c r="R376" s="1"/>
    </row>
    <row r="377" spans="1:18" x14ac:dyDescent="0.25">
      <c r="A377" s="62"/>
      <c r="B377" s="208" t="s">
        <v>64</v>
      </c>
      <c r="C377" s="19"/>
      <c r="D377" s="93"/>
      <c r="E377" s="20">
        <f t="shared" si="314"/>
        <v>0</v>
      </c>
      <c r="F377" s="59"/>
      <c r="G377" s="21" t="e">
        <f t="shared" si="315"/>
        <v>#DIV/0!</v>
      </c>
      <c r="H377" s="137"/>
      <c r="I377" s="137"/>
      <c r="J377" s="93">
        <f t="shared" si="316"/>
        <v>0</v>
      </c>
      <c r="K377" s="53">
        <f t="shared" si="317"/>
        <v>0</v>
      </c>
      <c r="L377" s="153" t="e">
        <f t="shared" si="318"/>
        <v>#DIV/0!</v>
      </c>
      <c r="M377" s="124"/>
      <c r="N377" s="61">
        <f t="shared" si="319"/>
        <v>0</v>
      </c>
      <c r="O377" s="1"/>
      <c r="P377" s="1"/>
      <c r="Q377" s="1"/>
      <c r="R377" s="1"/>
    </row>
    <row r="378" spans="1:18" x14ac:dyDescent="0.25">
      <c r="A378" s="62"/>
      <c r="B378" s="208" t="s">
        <v>64</v>
      </c>
      <c r="C378" s="93"/>
      <c r="D378" s="93"/>
      <c r="E378" s="20">
        <f t="shared" si="314"/>
        <v>0</v>
      </c>
      <c r="F378" s="59"/>
      <c r="G378" s="21" t="e">
        <f t="shared" si="315"/>
        <v>#DIV/0!</v>
      </c>
      <c r="H378" s="137"/>
      <c r="I378" s="137"/>
      <c r="J378" s="93">
        <f t="shared" si="316"/>
        <v>0</v>
      </c>
      <c r="K378" s="53">
        <f t="shared" si="317"/>
        <v>0</v>
      </c>
      <c r="L378" s="153" t="e">
        <f t="shared" si="318"/>
        <v>#DIV/0!</v>
      </c>
      <c r="M378" s="124"/>
      <c r="N378" s="61">
        <f t="shared" si="319"/>
        <v>0</v>
      </c>
      <c r="O378" s="1"/>
      <c r="P378" s="1"/>
      <c r="Q378" s="1"/>
      <c r="R378" s="1"/>
    </row>
    <row r="379" spans="1:18" x14ac:dyDescent="0.25">
      <c r="A379" s="62"/>
      <c r="B379" s="208" t="s">
        <v>64</v>
      </c>
      <c r="C379" s="53"/>
      <c r="D379" s="93"/>
      <c r="E379" s="20">
        <f t="shared" si="314"/>
        <v>0</v>
      </c>
      <c r="F379" s="59"/>
      <c r="G379" s="21" t="e">
        <f t="shared" si="315"/>
        <v>#DIV/0!</v>
      </c>
      <c r="H379" s="93"/>
      <c r="I379" s="137"/>
      <c r="J379" s="93">
        <f t="shared" si="316"/>
        <v>0</v>
      </c>
      <c r="K379" s="53">
        <f t="shared" si="317"/>
        <v>0</v>
      </c>
      <c r="L379" s="153" t="e">
        <f t="shared" si="318"/>
        <v>#DIV/0!</v>
      </c>
      <c r="M379" s="124"/>
      <c r="N379" s="61">
        <f t="shared" si="319"/>
        <v>0</v>
      </c>
      <c r="O379" s="1"/>
      <c r="P379" s="1"/>
      <c r="Q379" s="1"/>
      <c r="R379" s="1"/>
    </row>
    <row r="380" spans="1:18" ht="16.5" thickBot="1" x14ac:dyDescent="0.3">
      <c r="A380" s="58"/>
      <c r="B380" s="208" t="s">
        <v>64</v>
      </c>
      <c r="C380" s="93"/>
      <c r="D380" s="93"/>
      <c r="E380" s="20">
        <f t="shared" si="314"/>
        <v>0</v>
      </c>
      <c r="F380" s="59"/>
      <c r="G380" s="21" t="e">
        <f t="shared" si="315"/>
        <v>#DIV/0!</v>
      </c>
      <c r="H380" s="93"/>
      <c r="I380" s="137"/>
      <c r="J380" s="93">
        <f t="shared" si="316"/>
        <v>0</v>
      </c>
      <c r="K380" s="53">
        <f t="shared" si="317"/>
        <v>0</v>
      </c>
      <c r="L380" s="153" t="e">
        <f t="shared" si="318"/>
        <v>#DIV/0!</v>
      </c>
      <c r="M380" s="124"/>
      <c r="N380" s="61">
        <f t="shared" si="319"/>
        <v>0</v>
      </c>
      <c r="O380" s="1"/>
      <c r="P380" s="1"/>
      <c r="Q380" s="1"/>
      <c r="R380" s="1"/>
    </row>
    <row r="381" spans="1:18" ht="16.5" thickBot="1" x14ac:dyDescent="0.3">
      <c r="A381" s="77"/>
      <c r="B381" s="78"/>
      <c r="C381" s="77"/>
      <c r="D381" s="77" t="s">
        <v>17</v>
      </c>
      <c r="E381" s="77">
        <f>SUM(E375:E380)</f>
        <v>0</v>
      </c>
      <c r="F381" s="77"/>
      <c r="G381" s="79" t="e">
        <f>AVERAGE(G375:G380)</f>
        <v>#DIV/0!</v>
      </c>
      <c r="H381" s="77"/>
      <c r="I381" s="80"/>
      <c r="J381" s="77">
        <f t="shared" ref="J381:K381" si="320">SUM(J375:J380)</f>
        <v>0</v>
      </c>
      <c r="K381" s="77">
        <f t="shared" si="320"/>
        <v>419.65999999999997</v>
      </c>
      <c r="L381" s="79" t="e">
        <f>AVERAGE(L375:L380)</f>
        <v>#DIV/0!</v>
      </c>
      <c r="M381" s="78"/>
      <c r="N381" s="81">
        <f>SUM(N375:N380)</f>
        <v>11750156.399999999</v>
      </c>
      <c r="O381" s="1"/>
      <c r="P381" s="1"/>
      <c r="Q381" s="1"/>
      <c r="R381" s="1"/>
    </row>
    <row r="382" spans="1:18" ht="16.5" thickBot="1" x14ac:dyDescent="0.3">
      <c r="A382" s="211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13"/>
      <c r="M382" s="78"/>
      <c r="N382" s="81">
        <f>SUM(N250:N381)/2</f>
        <v>340463406.89999998</v>
      </c>
      <c r="O382" s="1"/>
      <c r="P382" s="1"/>
      <c r="Q382" s="1"/>
      <c r="R382" s="1"/>
    </row>
  </sheetData>
  <mergeCells count="1">
    <mergeCell ref="A382:L3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2026-09-04T00:59:14Z</dcterms:created>
  <dcterms:modified xsi:type="dcterms:W3CDTF">2026-09-04T02:01:20Z</dcterms:modified>
</cp:coreProperties>
</file>