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Code\web_app_phuphatcorp\reference\xu_ly_du_lieu_ke_toan\"/>
    </mc:Choice>
  </mc:AlternateContent>
  <xr:revisionPtr revIDLastSave="0" documentId="13_ncr:1_{7B917FD6-BEE5-45C1-A4B0-0B4318A1E90F}" xr6:coauthVersionLast="47" xr6:coauthVersionMax="47" xr10:uidLastSave="{00000000-0000-0000-0000-000000000000}"/>
  <bookViews>
    <workbookView xWindow="-120" yWindow="-120" windowWidth="38640" windowHeight="21120" activeTab="8" xr2:uid="{00000000-000D-0000-FFFF-FFFF00000000}"/>
  </bookViews>
  <sheets>
    <sheet name="TINH GIA DAU" sheetId="36" r:id="rId1"/>
    <sheet name="Kỳ điều chỉnh" sheetId="38" r:id="rId2"/>
    <sheet name="CLF (f)" sheetId="39" r:id="rId3"/>
    <sheet name="MCC (tt) (f)" sheetId="40" r:id="rId4"/>
    <sheet name="MCC GH (f)" sheetId="41" r:id="rId5"/>
    <sheet name="CLV (f)" sheetId="42" r:id="rId6"/>
    <sheet name="NDFC (TT) (f)" sheetId="43" r:id="rId7"/>
    <sheet name="NDFC -naic (f)" sheetId="44" r:id="rId8"/>
    <sheet name="VP-hiep phuoc (f)" sheetId="45" r:id="rId9"/>
    <sheet name="VP-uni (f)" sheetId="46" r:id="rId10"/>
    <sheet name="3KS (f)" sheetId="47" r:id="rId11"/>
    <sheet name="GẠO UNIDEPOT" sheetId="15" r:id="rId12"/>
    <sheet name="Sheet1" sheetId="26" r:id="rId13"/>
  </sheets>
  <definedNames>
    <definedName name="_xlnm._FilterDatabase" localSheetId="6" hidden="1">'NDFC (TT) (f)'!$A$4:$K$4</definedName>
    <definedName name="_xlnm._FilterDatabase" localSheetId="12" hidden="1">Sheet1!$A$1:$O$205</definedName>
    <definedName name="_xlnm._FilterDatabase" localSheetId="9" hidden="1">'VP-uni (f)'!$A$3:$H$80</definedName>
    <definedName name="_xlnm.Print_Area" localSheetId="4">'MCC GH (f)'!#REF!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0" i="41" l="1"/>
  <c r="D31" i="40"/>
  <c r="D32" i="40"/>
  <c r="D33" i="40"/>
  <c r="D34" i="40"/>
  <c r="D38" i="40"/>
  <c r="D39" i="40"/>
  <c r="D40" i="40"/>
  <c r="D41" i="40"/>
  <c r="D43" i="40"/>
  <c r="D45" i="40"/>
  <c r="D46" i="40"/>
  <c r="D50" i="40"/>
  <c r="D51" i="40"/>
  <c r="D52" i="40"/>
  <c r="D53" i="40"/>
  <c r="D54" i="40"/>
  <c r="D55" i="40"/>
  <c r="D56" i="40"/>
  <c r="D57" i="40"/>
  <c r="D58" i="40"/>
  <c r="D59" i="40"/>
  <c r="D60" i="40"/>
  <c r="D61" i="40"/>
  <c r="D68" i="40"/>
  <c r="D69" i="40"/>
  <c r="D70" i="40"/>
  <c r="D71" i="40"/>
  <c r="D72" i="40"/>
  <c r="D73" i="40"/>
  <c r="D74" i="40"/>
  <c r="D75" i="40"/>
  <c r="D76" i="40"/>
  <c r="D77" i="40"/>
  <c r="D78" i="40"/>
  <c r="D79" i="40"/>
  <c r="D80" i="40"/>
  <c r="D81" i="40"/>
  <c r="D84" i="40"/>
  <c r="D86" i="40"/>
  <c r="D87" i="40"/>
  <c r="D88" i="40"/>
  <c r="D89" i="40"/>
  <c r="D29" i="40"/>
  <c r="A8" i="47"/>
  <c r="A9" i="47" s="1"/>
  <c r="A10" i="47" s="1"/>
  <c r="A11" i="47" s="1"/>
  <c r="A12" i="47" s="1"/>
  <c r="A13" i="47" s="1"/>
  <c r="A5" i="46"/>
  <c r="A6" i="46" s="1"/>
  <c r="A7" i="46" s="1"/>
  <c r="A8" i="46" s="1"/>
  <c r="A9" i="46" s="1"/>
  <c r="A10" i="46" s="1"/>
  <c r="A11" i="46" s="1"/>
  <c r="A12" i="46" s="1"/>
  <c r="A13" i="46" s="1"/>
  <c r="A14" i="46" s="1"/>
  <c r="A15" i="46" s="1"/>
  <c r="A16" i="46" s="1"/>
  <c r="A17" i="46" s="1"/>
  <c r="A18" i="46" s="1"/>
  <c r="A19" i="46" s="1"/>
  <c r="A20" i="46" s="1"/>
  <c r="A21" i="46" s="1"/>
  <c r="A22" i="46" s="1"/>
  <c r="A23" i="46" s="1"/>
  <c r="A24" i="46" s="1"/>
  <c r="A25" i="46" s="1"/>
  <c r="A26" i="46" s="1"/>
  <c r="A27" i="46" s="1"/>
  <c r="A28" i="46" s="1"/>
  <c r="A29" i="46" s="1"/>
  <c r="A30" i="46" s="1"/>
  <c r="A31" i="46" s="1"/>
  <c r="A32" i="46" s="1"/>
  <c r="A33" i="46" s="1"/>
  <c r="A34" i="46" s="1"/>
  <c r="A35" i="46" s="1"/>
  <c r="A36" i="46" s="1"/>
  <c r="A37" i="46" s="1"/>
  <c r="A38" i="46" s="1"/>
  <c r="A39" i="46" s="1"/>
  <c r="A40" i="46" s="1"/>
  <c r="A41" i="46" s="1"/>
  <c r="A42" i="46" s="1"/>
  <c r="A43" i="46" s="1"/>
  <c r="A44" i="46" s="1"/>
  <c r="A45" i="46" s="1"/>
  <c r="A46" i="46" s="1"/>
  <c r="A47" i="46" s="1"/>
  <c r="A48" i="46" s="1"/>
  <c r="A49" i="46" s="1"/>
  <c r="A50" i="46" s="1"/>
  <c r="A51" i="46" s="1"/>
  <c r="A52" i="46" s="1"/>
  <c r="A53" i="46" s="1"/>
  <c r="A54" i="46" s="1"/>
  <c r="A55" i="46" s="1"/>
  <c r="A56" i="46" s="1"/>
  <c r="A57" i="46" s="1"/>
  <c r="A58" i="46" s="1"/>
  <c r="A59" i="46" s="1"/>
  <c r="A60" i="46" s="1"/>
  <c r="A61" i="46" s="1"/>
  <c r="A62" i="46" s="1"/>
  <c r="A63" i="46" s="1"/>
  <c r="A64" i="46" s="1"/>
  <c r="A65" i="46" s="1"/>
  <c r="A66" i="46" s="1"/>
  <c r="A67" i="46" s="1"/>
  <c r="A68" i="46" s="1"/>
  <c r="A69" i="46" s="1"/>
  <c r="A70" i="46" s="1"/>
  <c r="A71" i="46" s="1"/>
  <c r="A72" i="46" s="1"/>
  <c r="A73" i="46" s="1"/>
  <c r="A74" i="46" s="1"/>
  <c r="A75" i="46" s="1"/>
  <c r="A76" i="46" s="1"/>
  <c r="A77" i="46" s="1"/>
  <c r="A78" i="46" s="1"/>
  <c r="A79" i="46" s="1"/>
  <c r="A80" i="46" s="1"/>
  <c r="A5" i="45"/>
  <c r="A6" i="45" s="1"/>
  <c r="A7" i="45" s="1"/>
  <c r="A8" i="45" s="1"/>
  <c r="A9" i="45" s="1"/>
  <c r="A10" i="45" s="1"/>
  <c r="A11" i="45" s="1"/>
  <c r="A12" i="45" s="1"/>
  <c r="A13" i="45" s="1"/>
  <c r="A14" i="45" s="1"/>
  <c r="A15" i="45" s="1"/>
  <c r="A16" i="45" s="1"/>
  <c r="A17" i="45" s="1"/>
  <c r="A18" i="45" s="1"/>
  <c r="A19" i="45" s="1"/>
  <c r="A20" i="45" s="1"/>
  <c r="A21" i="45" s="1"/>
  <c r="A22" i="45" s="1"/>
  <c r="A23" i="45" s="1"/>
  <c r="A24" i="45" s="1"/>
  <c r="A25" i="45" s="1"/>
  <c r="A26" i="45" s="1"/>
  <c r="A27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A39" i="45" s="1"/>
  <c r="A40" i="45" s="1"/>
  <c r="A41" i="45" s="1"/>
  <c r="A42" i="45" s="1"/>
  <c r="A43" i="45" s="1"/>
  <c r="A44" i="45" s="1"/>
  <c r="A45" i="45" s="1"/>
  <c r="A46" i="45" s="1"/>
  <c r="A47" i="45" s="1"/>
  <c r="A48" i="45" s="1"/>
  <c r="A49" i="45" s="1"/>
  <c r="A50" i="45" s="1"/>
  <c r="A51" i="45" s="1"/>
  <c r="A52" i="45" s="1"/>
  <c r="A53" i="45" s="1"/>
  <c r="A54" i="45" s="1"/>
  <c r="A55" i="45" s="1"/>
  <c r="A56" i="45" s="1"/>
  <c r="A57" i="45" s="1"/>
  <c r="A58" i="45" s="1"/>
  <c r="A59" i="45" s="1"/>
  <c r="A60" i="45" s="1"/>
  <c r="A61" i="45" s="1"/>
  <c r="A62" i="45" s="1"/>
  <c r="A63" i="45" s="1"/>
  <c r="A64" i="45" s="1"/>
  <c r="A65" i="45" s="1"/>
  <c r="A66" i="45" s="1"/>
  <c r="A67" i="45" s="1"/>
  <c r="A68" i="45" s="1"/>
  <c r="A69" i="45" s="1"/>
  <c r="A70" i="45" s="1"/>
  <c r="A71" i="45" s="1"/>
  <c r="A72" i="45" s="1"/>
  <c r="A73" i="45" s="1"/>
  <c r="A74" i="45" s="1"/>
  <c r="A75" i="45" s="1"/>
  <c r="A76" i="45" s="1"/>
  <c r="A77" i="45" s="1"/>
  <c r="A78" i="45" s="1"/>
  <c r="A79" i="45" s="1"/>
  <c r="A80" i="45" s="1"/>
  <c r="A81" i="45" s="1"/>
  <c r="A82" i="45" s="1"/>
  <c r="A83" i="45" s="1"/>
  <c r="A84" i="45" s="1"/>
  <c r="A85" i="45" s="1"/>
  <c r="A86" i="45" s="1"/>
  <c r="A87" i="45" s="1"/>
  <c r="A88" i="45" s="1"/>
  <c r="A89" i="45" s="1"/>
  <c r="A90" i="45" s="1"/>
  <c r="A91" i="45" s="1"/>
  <c r="A92" i="45" s="1"/>
  <c r="A93" i="45" s="1"/>
  <c r="A94" i="45" s="1"/>
  <c r="A95" i="45" s="1"/>
  <c r="A96" i="45" s="1"/>
  <c r="A97" i="45" s="1"/>
  <c r="A98" i="45" s="1"/>
  <c r="A99" i="45" s="1"/>
  <c r="A100" i="45" s="1"/>
  <c r="A101" i="45" s="1"/>
  <c r="A102" i="45" s="1"/>
  <c r="A103" i="45" s="1"/>
  <c r="A104" i="45" s="1"/>
  <c r="A105" i="45" s="1"/>
  <c r="A106" i="45" s="1"/>
  <c r="A107" i="45" s="1"/>
  <c r="A108" i="45" s="1"/>
  <c r="A109" i="45" s="1"/>
  <c r="A110" i="45" s="1"/>
  <c r="A111" i="45" s="1"/>
  <c r="A112" i="45" s="1"/>
  <c r="A113" i="45" s="1"/>
  <c r="A114" i="45" s="1"/>
  <c r="A115" i="45" s="1"/>
  <c r="A116" i="45" s="1"/>
  <c r="A117" i="45" s="1"/>
  <c r="A118" i="45" s="1"/>
  <c r="A119" i="45" s="1"/>
  <c r="A120" i="45" s="1"/>
  <c r="A121" i="45" s="1"/>
  <c r="A122" i="45" s="1"/>
  <c r="A123" i="45" s="1"/>
  <c r="A124" i="45" s="1"/>
  <c r="A125" i="45" s="1"/>
  <c r="A126" i="45" s="1"/>
  <c r="A127" i="45" s="1"/>
  <c r="A128" i="45" s="1"/>
  <c r="A129" i="45" s="1"/>
  <c r="A130" i="45" s="1"/>
  <c r="A131" i="45" s="1"/>
  <c r="A132" i="45" s="1"/>
  <c r="A133" i="45" s="1"/>
  <c r="A134" i="45" s="1"/>
  <c r="A135" i="45" s="1"/>
  <c r="A136" i="45" s="1"/>
  <c r="A137" i="45" s="1"/>
  <c r="A138" i="45" s="1"/>
  <c r="A139" i="45" s="1"/>
  <c r="A140" i="45" s="1"/>
  <c r="A141" i="45" s="1"/>
  <c r="A142" i="45" s="1"/>
  <c r="A143" i="45" s="1"/>
  <c r="A144" i="45" s="1"/>
  <c r="A145" i="45" s="1"/>
  <c r="A146" i="45" s="1"/>
  <c r="A147" i="45" s="1"/>
  <c r="A148" i="45" s="1"/>
  <c r="A149" i="45" s="1"/>
  <c r="A150" i="45" s="1"/>
  <c r="A151" i="45" s="1"/>
  <c r="A152" i="45" s="1"/>
  <c r="A153" i="45" s="1"/>
  <c r="A154" i="45" s="1"/>
  <c r="A155" i="45" s="1"/>
  <c r="A156" i="45" s="1"/>
  <c r="A157" i="45" s="1"/>
  <c r="A158" i="45" s="1"/>
  <c r="A159" i="45" s="1"/>
  <c r="A160" i="45" s="1"/>
  <c r="A161" i="45" s="1"/>
  <c r="A162" i="45" s="1"/>
  <c r="A163" i="45" s="1"/>
  <c r="A164" i="45" s="1"/>
  <c r="A165" i="45" s="1"/>
  <c r="A166" i="45" s="1"/>
  <c r="A167" i="45" s="1"/>
  <c r="A168" i="45" s="1"/>
  <c r="A169" i="45" s="1"/>
  <c r="A170" i="45" s="1"/>
  <c r="A171" i="45" s="1"/>
  <c r="A172" i="45" s="1"/>
  <c r="A173" i="45" s="1"/>
  <c r="A174" i="45" s="1"/>
  <c r="A175" i="45" s="1"/>
  <c r="A176" i="45" s="1"/>
  <c r="A177" i="45" s="1"/>
  <c r="A178" i="45" s="1"/>
  <c r="A179" i="45" s="1"/>
  <c r="A180" i="45" s="1"/>
  <c r="A181" i="45" s="1"/>
  <c r="A182" i="45" s="1"/>
  <c r="A183" i="45" s="1"/>
  <c r="A184" i="45" s="1"/>
  <c r="A185" i="45" s="1"/>
  <c r="A186" i="45" s="1"/>
  <c r="A187" i="45" s="1"/>
  <c r="A188" i="45" s="1"/>
  <c r="A189" i="45" s="1"/>
  <c r="A190" i="45" s="1"/>
  <c r="A191" i="45" s="1"/>
  <c r="A192" i="45" s="1"/>
  <c r="A193" i="45" s="1"/>
  <c r="A194" i="45" s="1"/>
  <c r="A195" i="45" s="1"/>
  <c r="A196" i="45" s="1"/>
  <c r="A197" i="45" s="1"/>
  <c r="A198" i="45" s="1"/>
  <c r="A199" i="45" s="1"/>
  <c r="A200" i="45" s="1"/>
  <c r="A201" i="45" s="1"/>
  <c r="A202" i="45" s="1"/>
  <c r="A203" i="45" s="1"/>
  <c r="A204" i="45" s="1"/>
  <c r="A205" i="45" s="1"/>
  <c r="A6" i="44"/>
  <c r="A75" i="43"/>
  <c r="A76" i="43" s="1"/>
  <c r="A153" i="42"/>
  <c r="A151" i="42"/>
  <c r="A149" i="42"/>
  <c r="A147" i="42"/>
  <c r="A145" i="42"/>
  <c r="C142" i="42"/>
  <c r="A129" i="42"/>
  <c r="C126" i="42"/>
  <c r="A78" i="42"/>
  <c r="A79" i="42" s="1"/>
  <c r="C74" i="42"/>
  <c r="A5" i="42"/>
  <c r="A6" i="42" s="1"/>
  <c r="C1" i="42"/>
  <c r="T81" i="41"/>
  <c r="U81" i="41" s="1"/>
  <c r="V81" i="41" s="1"/>
  <c r="W81" i="41" s="1"/>
  <c r="X81" i="41" s="1"/>
  <c r="Y81" i="41" s="1"/>
  <c r="Z81" i="41" s="1"/>
  <c r="AA81" i="41" s="1"/>
  <c r="AB81" i="41" s="1"/>
  <c r="AC81" i="41" s="1"/>
  <c r="AD81" i="41" s="1"/>
  <c r="AE81" i="41" s="1"/>
  <c r="A77" i="41"/>
  <c r="A78" i="41" s="1"/>
  <c r="A79" i="41" s="1"/>
  <c r="C74" i="41"/>
  <c r="A5" i="41"/>
  <c r="C1" i="41"/>
  <c r="A30" i="40"/>
  <c r="A31" i="40" s="1"/>
  <c r="A32" i="40" s="1"/>
  <c r="A33" i="40" s="1"/>
  <c r="A34" i="40" s="1"/>
  <c r="A35" i="40" s="1"/>
  <c r="A36" i="40" s="1"/>
  <c r="A37" i="40" s="1"/>
  <c r="A38" i="40" s="1"/>
  <c r="A39" i="40" s="1"/>
  <c r="A40" i="40" s="1"/>
  <c r="A41" i="40" s="1"/>
  <c r="A42" i="40" s="1"/>
  <c r="A43" i="40" s="1"/>
  <c r="A44" i="40" s="1"/>
  <c r="A45" i="40" s="1"/>
  <c r="A46" i="40" s="1"/>
  <c r="A47" i="40" s="1"/>
  <c r="A48" i="40" s="1"/>
  <c r="A49" i="40" s="1"/>
  <c r="A50" i="40" s="1"/>
  <c r="A51" i="40" s="1"/>
  <c r="A52" i="40" s="1"/>
  <c r="A53" i="40" s="1"/>
  <c r="A54" i="40" s="1"/>
  <c r="A55" i="40" s="1"/>
  <c r="A56" i="40" s="1"/>
  <c r="A57" i="40" s="1"/>
  <c r="A58" i="40" s="1"/>
  <c r="A59" i="40" s="1"/>
  <c r="A60" i="40" s="1"/>
  <c r="A61" i="40" s="1"/>
  <c r="A62" i="40" s="1"/>
  <c r="A63" i="40" s="1"/>
  <c r="A64" i="40" s="1"/>
  <c r="A65" i="40" s="1"/>
  <c r="A66" i="40" s="1"/>
  <c r="A67" i="40" s="1"/>
  <c r="A68" i="40" s="1"/>
  <c r="A69" i="40" s="1"/>
  <c r="A70" i="40" s="1"/>
  <c r="A71" i="40" s="1"/>
  <c r="A72" i="40" s="1"/>
  <c r="A73" i="40" s="1"/>
  <c r="A74" i="40" s="1"/>
  <c r="A75" i="40" s="1"/>
  <c r="A76" i="40" s="1"/>
  <c r="A77" i="40" s="1"/>
  <c r="A78" i="40" s="1"/>
  <c r="A79" i="40" s="1"/>
  <c r="A80" i="40" s="1"/>
  <c r="A81" i="40" s="1"/>
  <c r="A82" i="40" s="1"/>
  <c r="A83" i="40" s="1"/>
  <c r="A84" i="40" s="1"/>
  <c r="A85" i="40" s="1"/>
  <c r="A86" i="40" s="1"/>
  <c r="A87" i="40" s="1"/>
  <c r="A88" i="40" s="1"/>
  <c r="A89" i="40" s="1"/>
  <c r="A90" i="40" s="1"/>
  <c r="A91" i="40" s="1"/>
  <c r="A92" i="40" s="1"/>
  <c r="B26" i="40"/>
  <c r="A5" i="40"/>
  <c r="A6" i="40" s="1"/>
  <c r="A7" i="40" s="1"/>
  <c r="A8" i="40" s="1"/>
  <c r="A9" i="40" s="1"/>
  <c r="A10" i="40" s="1"/>
  <c r="A11" i="40" s="1"/>
  <c r="A12" i="40" s="1"/>
  <c r="A13" i="40" s="1"/>
  <c r="A14" i="40" s="1"/>
  <c r="A15" i="40" s="1"/>
  <c r="A16" i="40" s="1"/>
  <c r="A17" i="40" s="1"/>
  <c r="A18" i="40" s="1"/>
  <c r="A19" i="40" s="1"/>
  <c r="A20" i="40" s="1"/>
  <c r="A21" i="40" s="1"/>
  <c r="A22" i="40" s="1"/>
  <c r="B1" i="40"/>
  <c r="A75" i="39"/>
  <c r="A76" i="39" s="1"/>
  <c r="A77" i="39" s="1"/>
  <c r="A78" i="39" s="1"/>
  <c r="A5" i="39"/>
  <c r="A6" i="39" s="1"/>
  <c r="A7" i="39" s="1"/>
  <c r="A8" i="39" s="1"/>
  <c r="A9" i="39" s="1"/>
  <c r="A10" i="39" s="1"/>
  <c r="A11" i="39" s="1"/>
  <c r="A12" i="39" s="1"/>
  <c r="A13" i="39" s="1"/>
  <c r="A14" i="39" s="1"/>
  <c r="A15" i="39" s="1"/>
  <c r="A16" i="39" s="1"/>
  <c r="A17" i="39" s="1"/>
  <c r="A18" i="39" s="1"/>
  <c r="A19" i="39" s="1"/>
  <c r="A20" i="39" s="1"/>
  <c r="A21" i="39" s="1"/>
  <c r="A22" i="39" s="1"/>
  <c r="A23" i="39" s="1"/>
  <c r="A24" i="39" s="1"/>
  <c r="A25" i="39" s="1"/>
  <c r="A26" i="39" s="1"/>
  <c r="A27" i="39" s="1"/>
  <c r="A28" i="39" s="1"/>
  <c r="A29" i="39" s="1"/>
  <c r="A30" i="39" s="1"/>
  <c r="A31" i="39" s="1"/>
  <c r="A32" i="39" s="1"/>
  <c r="A33" i="39" s="1"/>
  <c r="A34" i="39" s="1"/>
  <c r="A35" i="39" s="1"/>
  <c r="A36" i="39" s="1"/>
  <c r="A37" i="39" s="1"/>
  <c r="A38" i="39" s="1"/>
  <c r="A39" i="39" s="1"/>
  <c r="A41" i="39" s="1"/>
  <c r="A42" i="39" s="1"/>
  <c r="A43" i="39" s="1"/>
  <c r="A44" i="39" s="1"/>
  <c r="A45" i="39" s="1"/>
  <c r="A46" i="39" s="1"/>
  <c r="A47" i="39" s="1"/>
  <c r="A48" i="39" s="1"/>
  <c r="A49" i="39" s="1"/>
  <c r="A50" i="39" s="1"/>
  <c r="A51" i="39" s="1"/>
  <c r="A52" i="39" s="1"/>
  <c r="A53" i="39" s="1"/>
  <c r="A54" i="39" s="1"/>
  <c r="A55" i="39" s="1"/>
  <c r="A56" i="39" s="1"/>
  <c r="A57" i="39" s="1"/>
  <c r="A58" i="39" s="1"/>
  <c r="A59" i="39" s="1"/>
  <c r="A60" i="39" s="1"/>
  <c r="A61" i="39" s="1"/>
  <c r="A62" i="39" s="1"/>
  <c r="A63" i="39" s="1"/>
  <c r="A64" i="39" s="1"/>
  <c r="A65" i="39" s="1"/>
  <c r="A66" i="39" s="1"/>
  <c r="A67" i="39" s="1"/>
  <c r="A68" i="39" s="1"/>
  <c r="A69" i="39" s="1"/>
  <c r="A6" i="41" l="1"/>
  <c r="A7" i="41" s="1"/>
  <c r="A8" i="41" s="1"/>
  <c r="A9" i="41" s="1"/>
  <c r="AQ81" i="41"/>
  <c r="A7" i="42"/>
  <c r="A80" i="42"/>
  <c r="C254" i="36"/>
  <c r="C251" i="36"/>
  <c r="C253" i="36" s="1"/>
  <c r="C255" i="36" s="1"/>
  <c r="C241" i="36"/>
  <c r="C238" i="36"/>
  <c r="C240" i="36" s="1"/>
  <c r="A81" i="42" l="1"/>
  <c r="A8" i="42"/>
  <c r="A10" i="41"/>
  <c r="C242" i="36"/>
  <c r="A11" i="41" l="1"/>
  <c r="A9" i="42"/>
  <c r="A82" i="42"/>
  <c r="C228" i="36"/>
  <c r="C225" i="36"/>
  <c r="C227" i="36" s="1"/>
  <c r="C229" i="36" s="1"/>
  <c r="A83" i="42" l="1"/>
  <c r="A10" i="42"/>
  <c r="A12" i="41"/>
  <c r="A13" i="41" l="1"/>
  <c r="A11" i="42"/>
  <c r="A84" i="42"/>
  <c r="C215" i="36"/>
  <c r="C212" i="36"/>
  <c r="C214" i="36" s="1"/>
  <c r="C216" i="36" s="1"/>
  <c r="A85" i="42" l="1"/>
  <c r="A12" i="42"/>
  <c r="A14" i="41"/>
  <c r="A86" i="42" l="1"/>
  <c r="A15" i="41"/>
  <c r="A13" i="42"/>
  <c r="A14" i="42" l="1"/>
  <c r="A87" i="42"/>
  <c r="A16" i="41"/>
  <c r="A88" i="42" l="1"/>
  <c r="A17" i="41"/>
  <c r="A15" i="42"/>
  <c r="C202" i="36"/>
  <c r="C199" i="36"/>
  <c r="C201" i="36" s="1"/>
  <c r="C203" i="36" s="1"/>
  <c r="C190" i="36"/>
  <c r="C187" i="36"/>
  <c r="C189" i="36" s="1"/>
  <c r="C191" i="36" s="1"/>
  <c r="C177" i="36"/>
  <c r="C174" i="36"/>
  <c r="C176" i="36" s="1"/>
  <c r="C178" i="36" s="1"/>
  <c r="C113" i="36"/>
  <c r="A16" i="42" l="1"/>
  <c r="A89" i="42"/>
  <c r="A18" i="41"/>
  <c r="C164" i="36"/>
  <c r="C161" i="36"/>
  <c r="C163" i="36" s="1"/>
  <c r="C165" i="36" s="1"/>
  <c r="C152" i="36"/>
  <c r="C149" i="36"/>
  <c r="C151" i="36" s="1"/>
  <c r="C153" i="36" s="1"/>
  <c r="C140" i="36"/>
  <c r="C137" i="36"/>
  <c r="C139" i="36" s="1"/>
  <c r="C141" i="36" s="1"/>
  <c r="A19" i="41" l="1"/>
  <c r="A90" i="42"/>
  <c r="A17" i="42"/>
  <c r="C128" i="36"/>
  <c r="C125" i="36"/>
  <c r="C127" i="36" s="1"/>
  <c r="C129" i="36" s="1"/>
  <c r="C116" i="36"/>
  <c r="C115" i="36"/>
  <c r="C117" i="36" s="1"/>
  <c r="A18" i="42" l="1"/>
  <c r="A91" i="42"/>
  <c r="A20" i="41"/>
  <c r="C104" i="36"/>
  <c r="C101" i="36"/>
  <c r="C103" i="36" s="1"/>
  <c r="C105" i="36" s="1"/>
  <c r="C92" i="36"/>
  <c r="C89" i="36"/>
  <c r="C91" i="36" s="1"/>
  <c r="C93" i="36" s="1"/>
  <c r="A92" i="42" l="1"/>
  <c r="A21" i="41"/>
  <c r="A19" i="42"/>
  <c r="C80" i="36"/>
  <c r="C77" i="36"/>
  <c r="C79" i="36" s="1"/>
  <c r="A20" i="42" l="1"/>
  <c r="A22" i="41"/>
  <c r="A93" i="42"/>
  <c r="C81" i="36"/>
  <c r="A23" i="41" l="1"/>
  <c r="A94" i="42"/>
  <c r="A21" i="42"/>
  <c r="C56" i="36"/>
  <c r="C68" i="36"/>
  <c r="C65" i="36"/>
  <c r="C67" i="36" s="1"/>
  <c r="A22" i="42" l="1"/>
  <c r="A95" i="42"/>
  <c r="A24" i="41"/>
  <c r="C69" i="36"/>
  <c r="A25" i="41" l="1"/>
  <c r="A96" i="42"/>
  <c r="A23" i="42"/>
  <c r="C53" i="36"/>
  <c r="C55" i="36" s="1"/>
  <c r="C57" i="36" s="1"/>
  <c r="C41" i="36"/>
  <c r="C43" i="36" s="1"/>
  <c r="C45" i="36" s="1"/>
  <c r="C29" i="36"/>
  <c r="C31" i="36" s="1"/>
  <c r="C33" i="36" s="1"/>
  <c r="C17" i="36"/>
  <c r="C19" i="36" s="1"/>
  <c r="C21" i="36" s="1"/>
  <c r="C5" i="36"/>
  <c r="C7" i="36" s="1"/>
  <c r="C9" i="36" s="1"/>
  <c r="A24" i="42" l="1"/>
  <c r="A97" i="42"/>
  <c r="A26" i="41"/>
  <c r="A27" i="41" l="1"/>
  <c r="A28" i="41" s="1"/>
  <c r="A98" i="42"/>
  <c r="A25" i="42"/>
  <c r="A26" i="42" l="1"/>
  <c r="A99" i="42"/>
  <c r="A29" i="41"/>
  <c r="A30" i="41" l="1"/>
  <c r="A100" i="42"/>
  <c r="A27" i="42"/>
  <c r="A28" i="42" l="1"/>
  <c r="A101" i="42"/>
  <c r="A31" i="41"/>
  <c r="K36" i="26"/>
  <c r="L36" i="26"/>
  <c r="M36" i="26"/>
  <c r="N36" i="26"/>
  <c r="O36" i="26"/>
  <c r="K37" i="26"/>
  <c r="L37" i="26"/>
  <c r="M37" i="26"/>
  <c r="N37" i="26"/>
  <c r="O37" i="26"/>
  <c r="K38" i="26"/>
  <c r="L38" i="26"/>
  <c r="M38" i="26"/>
  <c r="N38" i="26"/>
  <c r="O38" i="26"/>
  <c r="K39" i="26"/>
  <c r="L39" i="26"/>
  <c r="M39" i="26"/>
  <c r="N39" i="26"/>
  <c r="O39" i="26"/>
  <c r="K40" i="26"/>
  <c r="L40" i="26"/>
  <c r="M40" i="26"/>
  <c r="N40" i="26"/>
  <c r="O40" i="26"/>
  <c r="K41" i="26"/>
  <c r="L41" i="26"/>
  <c r="M41" i="26"/>
  <c r="N41" i="26"/>
  <c r="O41" i="26"/>
  <c r="K42" i="26"/>
  <c r="L42" i="26"/>
  <c r="M42" i="26"/>
  <c r="N42" i="26"/>
  <c r="O42" i="26"/>
  <c r="K43" i="26"/>
  <c r="L43" i="26"/>
  <c r="M43" i="26"/>
  <c r="N43" i="26"/>
  <c r="O43" i="26"/>
  <c r="K44" i="26"/>
  <c r="L44" i="26"/>
  <c r="M44" i="26"/>
  <c r="N44" i="26"/>
  <c r="O44" i="26"/>
  <c r="K45" i="26"/>
  <c r="L45" i="26"/>
  <c r="M45" i="26"/>
  <c r="N45" i="26"/>
  <c r="O45" i="26"/>
  <c r="K46" i="26"/>
  <c r="L46" i="26"/>
  <c r="M46" i="26"/>
  <c r="N46" i="26"/>
  <c r="O46" i="26"/>
  <c r="K47" i="26"/>
  <c r="L47" i="26"/>
  <c r="M47" i="26"/>
  <c r="N47" i="26"/>
  <c r="O47" i="26"/>
  <c r="K48" i="26"/>
  <c r="L48" i="26"/>
  <c r="M48" i="26"/>
  <c r="N48" i="26"/>
  <c r="O48" i="26"/>
  <c r="K49" i="26"/>
  <c r="L49" i="26"/>
  <c r="M49" i="26"/>
  <c r="N49" i="26"/>
  <c r="O49" i="26"/>
  <c r="K50" i="26"/>
  <c r="L50" i="26"/>
  <c r="M50" i="26"/>
  <c r="N50" i="26"/>
  <c r="O50" i="26"/>
  <c r="K51" i="26"/>
  <c r="L51" i="26"/>
  <c r="M51" i="26"/>
  <c r="N51" i="26"/>
  <c r="O51" i="26"/>
  <c r="K52" i="26"/>
  <c r="L52" i="26"/>
  <c r="M52" i="26"/>
  <c r="N52" i="26"/>
  <c r="O52" i="26"/>
  <c r="K53" i="26"/>
  <c r="L53" i="26"/>
  <c r="M53" i="26"/>
  <c r="N53" i="26"/>
  <c r="O53" i="26"/>
  <c r="K54" i="26"/>
  <c r="L54" i="26"/>
  <c r="M54" i="26"/>
  <c r="N54" i="26"/>
  <c r="O54" i="26"/>
  <c r="K55" i="26"/>
  <c r="L55" i="26"/>
  <c r="M55" i="26"/>
  <c r="N55" i="26"/>
  <c r="O55" i="26"/>
  <c r="K56" i="26"/>
  <c r="L56" i="26"/>
  <c r="M56" i="26"/>
  <c r="N56" i="26"/>
  <c r="O56" i="26"/>
  <c r="K57" i="26"/>
  <c r="L57" i="26"/>
  <c r="M57" i="26"/>
  <c r="N57" i="26"/>
  <c r="O57" i="26"/>
  <c r="K58" i="26"/>
  <c r="L58" i="26"/>
  <c r="M58" i="26"/>
  <c r="N58" i="26"/>
  <c r="O58" i="26"/>
  <c r="K59" i="26"/>
  <c r="L59" i="26"/>
  <c r="M59" i="26"/>
  <c r="N59" i="26"/>
  <c r="O59" i="26"/>
  <c r="K60" i="26"/>
  <c r="L60" i="26"/>
  <c r="M60" i="26"/>
  <c r="N60" i="26"/>
  <c r="O60" i="26"/>
  <c r="K61" i="26"/>
  <c r="L61" i="26"/>
  <c r="M61" i="26"/>
  <c r="N61" i="26"/>
  <c r="O61" i="26"/>
  <c r="K62" i="26"/>
  <c r="L62" i="26"/>
  <c r="M62" i="26"/>
  <c r="N62" i="26"/>
  <c r="O62" i="26"/>
  <c r="K63" i="26"/>
  <c r="L63" i="26"/>
  <c r="M63" i="26"/>
  <c r="N63" i="26"/>
  <c r="O63" i="26"/>
  <c r="K64" i="26"/>
  <c r="L64" i="26"/>
  <c r="M64" i="26"/>
  <c r="N64" i="26"/>
  <c r="O64" i="26"/>
  <c r="K65" i="26"/>
  <c r="L65" i="26"/>
  <c r="M65" i="26"/>
  <c r="N65" i="26"/>
  <c r="O65" i="26"/>
  <c r="K66" i="26"/>
  <c r="L66" i="26"/>
  <c r="M66" i="26"/>
  <c r="N66" i="26"/>
  <c r="O66" i="26"/>
  <c r="K67" i="26"/>
  <c r="L67" i="26"/>
  <c r="M67" i="26"/>
  <c r="N67" i="26"/>
  <c r="O67" i="26"/>
  <c r="K68" i="26"/>
  <c r="L68" i="26"/>
  <c r="M68" i="26"/>
  <c r="N68" i="26"/>
  <c r="O68" i="26"/>
  <c r="A32" i="41" l="1"/>
  <c r="A102" i="42"/>
  <c r="A29" i="42"/>
  <c r="O205" i="26"/>
  <c r="N205" i="26"/>
  <c r="M205" i="26"/>
  <c r="L205" i="26"/>
  <c r="K205" i="26"/>
  <c r="O204" i="26"/>
  <c r="N204" i="26"/>
  <c r="M204" i="26"/>
  <c r="L204" i="26"/>
  <c r="K204" i="26"/>
  <c r="O203" i="26"/>
  <c r="N203" i="26"/>
  <c r="M203" i="26"/>
  <c r="L203" i="26"/>
  <c r="K203" i="26"/>
  <c r="O202" i="26"/>
  <c r="N202" i="26"/>
  <c r="M202" i="26"/>
  <c r="L202" i="26"/>
  <c r="K202" i="26"/>
  <c r="O201" i="26"/>
  <c r="N201" i="26"/>
  <c r="M201" i="26"/>
  <c r="L201" i="26"/>
  <c r="K201" i="26"/>
  <c r="O200" i="26"/>
  <c r="N200" i="26"/>
  <c r="M200" i="26"/>
  <c r="L200" i="26"/>
  <c r="K200" i="26"/>
  <c r="O199" i="26"/>
  <c r="N199" i="26"/>
  <c r="M199" i="26"/>
  <c r="L199" i="26"/>
  <c r="K199" i="26"/>
  <c r="O198" i="26"/>
  <c r="N198" i="26"/>
  <c r="M198" i="26"/>
  <c r="L198" i="26"/>
  <c r="K198" i="26"/>
  <c r="O197" i="26"/>
  <c r="N197" i="26"/>
  <c r="M197" i="26"/>
  <c r="L197" i="26"/>
  <c r="K197" i="26"/>
  <c r="O196" i="26"/>
  <c r="N196" i="26"/>
  <c r="M196" i="26"/>
  <c r="L196" i="26"/>
  <c r="K196" i="26"/>
  <c r="O195" i="26"/>
  <c r="N195" i="26"/>
  <c r="M195" i="26"/>
  <c r="L195" i="26"/>
  <c r="K195" i="26"/>
  <c r="O194" i="26"/>
  <c r="N194" i="26"/>
  <c r="M194" i="26"/>
  <c r="L194" i="26"/>
  <c r="K194" i="26"/>
  <c r="O193" i="26"/>
  <c r="N193" i="26"/>
  <c r="M193" i="26"/>
  <c r="L193" i="26"/>
  <c r="K193" i="26"/>
  <c r="O192" i="26"/>
  <c r="N192" i="26"/>
  <c r="M192" i="26"/>
  <c r="L192" i="26"/>
  <c r="K192" i="26"/>
  <c r="O191" i="26"/>
  <c r="N191" i="26"/>
  <c r="M191" i="26"/>
  <c r="L191" i="26"/>
  <c r="K191" i="26"/>
  <c r="O190" i="26"/>
  <c r="N190" i="26"/>
  <c r="M190" i="26"/>
  <c r="L190" i="26"/>
  <c r="K190" i="26"/>
  <c r="O189" i="26"/>
  <c r="N189" i="26"/>
  <c r="M189" i="26"/>
  <c r="L189" i="26"/>
  <c r="K189" i="26"/>
  <c r="O188" i="26"/>
  <c r="N188" i="26"/>
  <c r="M188" i="26"/>
  <c r="L188" i="26"/>
  <c r="K188" i="26"/>
  <c r="O187" i="26"/>
  <c r="N187" i="26"/>
  <c r="M187" i="26"/>
  <c r="L187" i="26"/>
  <c r="K187" i="26"/>
  <c r="O186" i="26"/>
  <c r="N186" i="26"/>
  <c r="M186" i="26"/>
  <c r="L186" i="26"/>
  <c r="K186" i="26"/>
  <c r="O185" i="26"/>
  <c r="N185" i="26"/>
  <c r="M185" i="26"/>
  <c r="L185" i="26"/>
  <c r="K185" i="26"/>
  <c r="O184" i="26"/>
  <c r="N184" i="26"/>
  <c r="M184" i="26"/>
  <c r="L184" i="26"/>
  <c r="K184" i="26"/>
  <c r="O183" i="26"/>
  <c r="N183" i="26"/>
  <c r="M183" i="26"/>
  <c r="L183" i="26"/>
  <c r="K183" i="26"/>
  <c r="O182" i="26"/>
  <c r="N182" i="26"/>
  <c r="M182" i="26"/>
  <c r="L182" i="26"/>
  <c r="K182" i="26"/>
  <c r="O181" i="26"/>
  <c r="N181" i="26"/>
  <c r="M181" i="26"/>
  <c r="L181" i="26"/>
  <c r="K181" i="26"/>
  <c r="O180" i="26"/>
  <c r="N180" i="26"/>
  <c r="M180" i="26"/>
  <c r="L180" i="26"/>
  <c r="K180" i="26"/>
  <c r="O179" i="26"/>
  <c r="N179" i="26"/>
  <c r="M179" i="26"/>
  <c r="L179" i="26"/>
  <c r="K179" i="26"/>
  <c r="O178" i="26"/>
  <c r="N178" i="26"/>
  <c r="M178" i="26"/>
  <c r="L178" i="26"/>
  <c r="K178" i="26"/>
  <c r="O177" i="26"/>
  <c r="N177" i="26"/>
  <c r="M177" i="26"/>
  <c r="L177" i="26"/>
  <c r="K177" i="26"/>
  <c r="O176" i="26"/>
  <c r="N176" i="26"/>
  <c r="M176" i="26"/>
  <c r="L176" i="26"/>
  <c r="K176" i="26"/>
  <c r="O175" i="26"/>
  <c r="N175" i="26"/>
  <c r="M175" i="26"/>
  <c r="L175" i="26"/>
  <c r="K175" i="26"/>
  <c r="O174" i="26"/>
  <c r="N174" i="26"/>
  <c r="M174" i="26"/>
  <c r="L174" i="26"/>
  <c r="K174" i="26"/>
  <c r="O173" i="26"/>
  <c r="N173" i="26"/>
  <c r="M173" i="26"/>
  <c r="L173" i="26"/>
  <c r="K173" i="26"/>
  <c r="O172" i="26"/>
  <c r="N172" i="26"/>
  <c r="M172" i="26"/>
  <c r="L172" i="26"/>
  <c r="K172" i="26"/>
  <c r="O171" i="26"/>
  <c r="N171" i="26"/>
  <c r="M171" i="26"/>
  <c r="L171" i="26"/>
  <c r="K171" i="26"/>
  <c r="O170" i="26"/>
  <c r="N170" i="26"/>
  <c r="M170" i="26"/>
  <c r="L170" i="26"/>
  <c r="K170" i="26"/>
  <c r="O169" i="26"/>
  <c r="N169" i="26"/>
  <c r="M169" i="26"/>
  <c r="L169" i="26"/>
  <c r="K169" i="26"/>
  <c r="O168" i="26"/>
  <c r="N168" i="26"/>
  <c r="M168" i="26"/>
  <c r="L168" i="26"/>
  <c r="K168" i="26"/>
  <c r="O167" i="26"/>
  <c r="N167" i="26"/>
  <c r="M167" i="26"/>
  <c r="L167" i="26"/>
  <c r="K167" i="26"/>
  <c r="O166" i="26"/>
  <c r="N166" i="26"/>
  <c r="M166" i="26"/>
  <c r="L166" i="26"/>
  <c r="K166" i="26"/>
  <c r="O165" i="26"/>
  <c r="N165" i="26"/>
  <c r="M165" i="26"/>
  <c r="L165" i="26"/>
  <c r="K165" i="26"/>
  <c r="O164" i="26"/>
  <c r="N164" i="26"/>
  <c r="M164" i="26"/>
  <c r="L164" i="26"/>
  <c r="K164" i="26"/>
  <c r="O163" i="26"/>
  <c r="N163" i="26"/>
  <c r="M163" i="26"/>
  <c r="L163" i="26"/>
  <c r="K163" i="26"/>
  <c r="O162" i="26"/>
  <c r="N162" i="26"/>
  <c r="M162" i="26"/>
  <c r="L162" i="26"/>
  <c r="K162" i="26"/>
  <c r="O161" i="26"/>
  <c r="N161" i="26"/>
  <c r="M161" i="26"/>
  <c r="L161" i="26"/>
  <c r="K161" i="26"/>
  <c r="O160" i="26"/>
  <c r="N160" i="26"/>
  <c r="M160" i="26"/>
  <c r="L160" i="26"/>
  <c r="K160" i="26"/>
  <c r="O159" i="26"/>
  <c r="N159" i="26"/>
  <c r="M159" i="26"/>
  <c r="L159" i="26"/>
  <c r="K159" i="26"/>
  <c r="O158" i="26"/>
  <c r="N158" i="26"/>
  <c r="M158" i="26"/>
  <c r="L158" i="26"/>
  <c r="K158" i="26"/>
  <c r="O157" i="26"/>
  <c r="N157" i="26"/>
  <c r="M157" i="26"/>
  <c r="L157" i="26"/>
  <c r="K157" i="26"/>
  <c r="O156" i="26"/>
  <c r="N156" i="26"/>
  <c r="M156" i="26"/>
  <c r="L156" i="26"/>
  <c r="K156" i="26"/>
  <c r="O155" i="26"/>
  <c r="N155" i="26"/>
  <c r="M155" i="26"/>
  <c r="L155" i="26"/>
  <c r="K155" i="26"/>
  <c r="O154" i="26"/>
  <c r="N154" i="26"/>
  <c r="M154" i="26"/>
  <c r="L154" i="26"/>
  <c r="K154" i="26"/>
  <c r="O153" i="26"/>
  <c r="N153" i="26"/>
  <c r="M153" i="26"/>
  <c r="L153" i="26"/>
  <c r="K153" i="26"/>
  <c r="O152" i="26"/>
  <c r="N152" i="26"/>
  <c r="M152" i="26"/>
  <c r="L152" i="26"/>
  <c r="K152" i="26"/>
  <c r="O151" i="26"/>
  <c r="N151" i="26"/>
  <c r="M151" i="26"/>
  <c r="L151" i="26"/>
  <c r="K151" i="26"/>
  <c r="O150" i="26"/>
  <c r="N150" i="26"/>
  <c r="M150" i="26"/>
  <c r="L150" i="26"/>
  <c r="K150" i="26"/>
  <c r="O149" i="26"/>
  <c r="N149" i="26"/>
  <c r="M149" i="26"/>
  <c r="L149" i="26"/>
  <c r="K149" i="26"/>
  <c r="O148" i="26"/>
  <c r="N148" i="26"/>
  <c r="M148" i="26"/>
  <c r="L148" i="26"/>
  <c r="K148" i="26"/>
  <c r="O147" i="26"/>
  <c r="N147" i="26"/>
  <c r="M147" i="26"/>
  <c r="L147" i="26"/>
  <c r="K147" i="26"/>
  <c r="O146" i="26"/>
  <c r="N146" i="26"/>
  <c r="M146" i="26"/>
  <c r="L146" i="26"/>
  <c r="K146" i="26"/>
  <c r="O145" i="26"/>
  <c r="N145" i="26"/>
  <c r="M145" i="26"/>
  <c r="L145" i="26"/>
  <c r="K145" i="26"/>
  <c r="O144" i="26"/>
  <c r="N144" i="26"/>
  <c r="M144" i="26"/>
  <c r="L144" i="26"/>
  <c r="K144" i="26"/>
  <c r="O143" i="26"/>
  <c r="N143" i="26"/>
  <c r="M143" i="26"/>
  <c r="L143" i="26"/>
  <c r="K143" i="26"/>
  <c r="O142" i="26"/>
  <c r="N142" i="26"/>
  <c r="M142" i="26"/>
  <c r="L142" i="26"/>
  <c r="K142" i="26"/>
  <c r="O141" i="26"/>
  <c r="N141" i="26"/>
  <c r="M141" i="26"/>
  <c r="L141" i="26"/>
  <c r="K141" i="26"/>
  <c r="O140" i="26"/>
  <c r="N140" i="26"/>
  <c r="M140" i="26"/>
  <c r="L140" i="26"/>
  <c r="K140" i="26"/>
  <c r="O139" i="26"/>
  <c r="N139" i="26"/>
  <c r="M139" i="26"/>
  <c r="L139" i="26"/>
  <c r="K139" i="26"/>
  <c r="O138" i="26"/>
  <c r="N138" i="26"/>
  <c r="M138" i="26"/>
  <c r="L138" i="26"/>
  <c r="K138" i="26"/>
  <c r="O137" i="26"/>
  <c r="N137" i="26"/>
  <c r="M137" i="26"/>
  <c r="L137" i="26"/>
  <c r="K137" i="26"/>
  <c r="O136" i="26"/>
  <c r="N136" i="26"/>
  <c r="M136" i="26"/>
  <c r="L136" i="26"/>
  <c r="K136" i="26"/>
  <c r="O135" i="26"/>
  <c r="N135" i="26"/>
  <c r="M135" i="26"/>
  <c r="L135" i="26"/>
  <c r="K135" i="26"/>
  <c r="O134" i="26"/>
  <c r="N134" i="26"/>
  <c r="M134" i="26"/>
  <c r="L134" i="26"/>
  <c r="K134" i="26"/>
  <c r="O133" i="26"/>
  <c r="N133" i="26"/>
  <c r="M133" i="26"/>
  <c r="L133" i="26"/>
  <c r="K133" i="26"/>
  <c r="O132" i="26"/>
  <c r="N132" i="26"/>
  <c r="M132" i="26"/>
  <c r="L132" i="26"/>
  <c r="K132" i="26"/>
  <c r="O131" i="26"/>
  <c r="N131" i="26"/>
  <c r="M131" i="26"/>
  <c r="L131" i="26"/>
  <c r="K131" i="26"/>
  <c r="O130" i="26"/>
  <c r="N130" i="26"/>
  <c r="M130" i="26"/>
  <c r="L130" i="26"/>
  <c r="K130" i="26"/>
  <c r="O129" i="26"/>
  <c r="N129" i="26"/>
  <c r="M129" i="26"/>
  <c r="L129" i="26"/>
  <c r="K129" i="26"/>
  <c r="O128" i="26"/>
  <c r="N128" i="26"/>
  <c r="M128" i="26"/>
  <c r="L128" i="26"/>
  <c r="K128" i="26"/>
  <c r="O127" i="26"/>
  <c r="N127" i="26"/>
  <c r="M127" i="26"/>
  <c r="L127" i="26"/>
  <c r="K127" i="26"/>
  <c r="O126" i="26"/>
  <c r="N126" i="26"/>
  <c r="M126" i="26"/>
  <c r="L126" i="26"/>
  <c r="K126" i="26"/>
  <c r="O125" i="26"/>
  <c r="N125" i="26"/>
  <c r="M125" i="26"/>
  <c r="L125" i="26"/>
  <c r="K125" i="26"/>
  <c r="O124" i="26"/>
  <c r="N124" i="26"/>
  <c r="M124" i="26"/>
  <c r="L124" i="26"/>
  <c r="K124" i="26"/>
  <c r="O123" i="26"/>
  <c r="N123" i="26"/>
  <c r="M123" i="26"/>
  <c r="L123" i="26"/>
  <c r="K123" i="26"/>
  <c r="O122" i="26"/>
  <c r="N122" i="26"/>
  <c r="M122" i="26"/>
  <c r="L122" i="26"/>
  <c r="K122" i="26"/>
  <c r="O121" i="26"/>
  <c r="N121" i="26"/>
  <c r="M121" i="26"/>
  <c r="L121" i="26"/>
  <c r="K121" i="26"/>
  <c r="O120" i="26"/>
  <c r="N120" i="26"/>
  <c r="M120" i="26"/>
  <c r="L120" i="26"/>
  <c r="K120" i="26"/>
  <c r="O119" i="26"/>
  <c r="N119" i="26"/>
  <c r="M119" i="26"/>
  <c r="L119" i="26"/>
  <c r="K119" i="26"/>
  <c r="O118" i="26"/>
  <c r="N118" i="26"/>
  <c r="M118" i="26"/>
  <c r="L118" i="26"/>
  <c r="K118" i="26"/>
  <c r="O117" i="26"/>
  <c r="N117" i="26"/>
  <c r="M117" i="26"/>
  <c r="L117" i="26"/>
  <c r="K117" i="26"/>
  <c r="O116" i="26"/>
  <c r="N116" i="26"/>
  <c r="M116" i="26"/>
  <c r="L116" i="26"/>
  <c r="K116" i="26"/>
  <c r="O115" i="26"/>
  <c r="N115" i="26"/>
  <c r="M115" i="26"/>
  <c r="L115" i="26"/>
  <c r="K115" i="26"/>
  <c r="O114" i="26"/>
  <c r="N114" i="26"/>
  <c r="M114" i="26"/>
  <c r="L114" i="26"/>
  <c r="K114" i="26"/>
  <c r="O113" i="26"/>
  <c r="N113" i="26"/>
  <c r="M113" i="26"/>
  <c r="L113" i="26"/>
  <c r="K113" i="26"/>
  <c r="O112" i="26"/>
  <c r="N112" i="26"/>
  <c r="M112" i="26"/>
  <c r="L112" i="26"/>
  <c r="K112" i="26"/>
  <c r="O111" i="26"/>
  <c r="N111" i="26"/>
  <c r="M111" i="26"/>
  <c r="L111" i="26"/>
  <c r="K111" i="26"/>
  <c r="O110" i="26"/>
  <c r="N110" i="26"/>
  <c r="M110" i="26"/>
  <c r="L110" i="26"/>
  <c r="K110" i="26"/>
  <c r="O109" i="26"/>
  <c r="N109" i="26"/>
  <c r="M109" i="26"/>
  <c r="L109" i="26"/>
  <c r="K109" i="26"/>
  <c r="O108" i="26"/>
  <c r="N108" i="26"/>
  <c r="M108" i="26"/>
  <c r="L108" i="26"/>
  <c r="K108" i="26"/>
  <c r="O107" i="26"/>
  <c r="N107" i="26"/>
  <c r="M107" i="26"/>
  <c r="L107" i="26"/>
  <c r="K107" i="26"/>
  <c r="O106" i="26"/>
  <c r="N106" i="26"/>
  <c r="M106" i="26"/>
  <c r="L106" i="26"/>
  <c r="K106" i="26"/>
  <c r="O105" i="26"/>
  <c r="N105" i="26"/>
  <c r="M105" i="26"/>
  <c r="L105" i="26"/>
  <c r="K105" i="26"/>
  <c r="O104" i="26"/>
  <c r="N104" i="26"/>
  <c r="M104" i="26"/>
  <c r="L104" i="26"/>
  <c r="K104" i="26"/>
  <c r="O103" i="26"/>
  <c r="N103" i="26"/>
  <c r="M103" i="26"/>
  <c r="L103" i="26"/>
  <c r="K103" i="26"/>
  <c r="O102" i="26"/>
  <c r="N102" i="26"/>
  <c r="M102" i="26"/>
  <c r="L102" i="26"/>
  <c r="K102" i="26"/>
  <c r="O101" i="26"/>
  <c r="N101" i="26"/>
  <c r="M101" i="26"/>
  <c r="L101" i="26"/>
  <c r="K101" i="26"/>
  <c r="O100" i="26"/>
  <c r="N100" i="26"/>
  <c r="M100" i="26"/>
  <c r="L100" i="26"/>
  <c r="K100" i="26"/>
  <c r="O99" i="26"/>
  <c r="N99" i="26"/>
  <c r="M99" i="26"/>
  <c r="L99" i="26"/>
  <c r="K99" i="26"/>
  <c r="O98" i="26"/>
  <c r="N98" i="26"/>
  <c r="M98" i="26"/>
  <c r="L98" i="26"/>
  <c r="K98" i="26"/>
  <c r="O97" i="26"/>
  <c r="N97" i="26"/>
  <c r="M97" i="26"/>
  <c r="L97" i="26"/>
  <c r="K97" i="26"/>
  <c r="O96" i="26"/>
  <c r="N96" i="26"/>
  <c r="M96" i="26"/>
  <c r="L96" i="26"/>
  <c r="K96" i="26"/>
  <c r="O95" i="26"/>
  <c r="N95" i="26"/>
  <c r="M95" i="26"/>
  <c r="L95" i="26"/>
  <c r="K95" i="26"/>
  <c r="O94" i="26"/>
  <c r="N94" i="26"/>
  <c r="M94" i="26"/>
  <c r="L94" i="26"/>
  <c r="K94" i="26"/>
  <c r="O93" i="26"/>
  <c r="N93" i="26"/>
  <c r="M93" i="26"/>
  <c r="L93" i="26"/>
  <c r="K93" i="26"/>
  <c r="O92" i="26"/>
  <c r="N92" i="26"/>
  <c r="M92" i="26"/>
  <c r="L92" i="26"/>
  <c r="K92" i="26"/>
  <c r="O91" i="26"/>
  <c r="N91" i="26"/>
  <c r="M91" i="26"/>
  <c r="L91" i="26"/>
  <c r="K91" i="26"/>
  <c r="O90" i="26"/>
  <c r="N90" i="26"/>
  <c r="M90" i="26"/>
  <c r="L90" i="26"/>
  <c r="K90" i="26"/>
  <c r="O89" i="26"/>
  <c r="N89" i="26"/>
  <c r="M89" i="26"/>
  <c r="L89" i="26"/>
  <c r="K89" i="26"/>
  <c r="O88" i="26"/>
  <c r="N88" i="26"/>
  <c r="M88" i="26"/>
  <c r="L88" i="26"/>
  <c r="K88" i="26"/>
  <c r="O87" i="26"/>
  <c r="N87" i="26"/>
  <c r="M87" i="26"/>
  <c r="L87" i="26"/>
  <c r="K87" i="26"/>
  <c r="O86" i="26"/>
  <c r="N86" i="26"/>
  <c r="M86" i="26"/>
  <c r="L86" i="26"/>
  <c r="K86" i="26"/>
  <c r="O85" i="26"/>
  <c r="N85" i="26"/>
  <c r="M85" i="26"/>
  <c r="L85" i="26"/>
  <c r="K85" i="26"/>
  <c r="O84" i="26"/>
  <c r="N84" i="26"/>
  <c r="M84" i="26"/>
  <c r="L84" i="26"/>
  <c r="K84" i="26"/>
  <c r="O83" i="26"/>
  <c r="N83" i="26"/>
  <c r="M83" i="26"/>
  <c r="L83" i="26"/>
  <c r="K83" i="26"/>
  <c r="O82" i="26"/>
  <c r="N82" i="26"/>
  <c r="M82" i="26"/>
  <c r="L82" i="26"/>
  <c r="K82" i="26"/>
  <c r="O81" i="26"/>
  <c r="N81" i="26"/>
  <c r="M81" i="26"/>
  <c r="L81" i="26"/>
  <c r="K81" i="26"/>
  <c r="O80" i="26"/>
  <c r="N80" i="26"/>
  <c r="M80" i="26"/>
  <c r="L80" i="26"/>
  <c r="K80" i="26"/>
  <c r="O79" i="26"/>
  <c r="N79" i="26"/>
  <c r="M79" i="26"/>
  <c r="L79" i="26"/>
  <c r="K79" i="26"/>
  <c r="O78" i="26"/>
  <c r="N78" i="26"/>
  <c r="M78" i="26"/>
  <c r="L78" i="26"/>
  <c r="K78" i="26"/>
  <c r="O77" i="26"/>
  <c r="N77" i="26"/>
  <c r="M77" i="26"/>
  <c r="L77" i="26"/>
  <c r="K77" i="26"/>
  <c r="O76" i="26"/>
  <c r="N76" i="26"/>
  <c r="M76" i="26"/>
  <c r="L76" i="26"/>
  <c r="K76" i="26"/>
  <c r="O75" i="26"/>
  <c r="N75" i="26"/>
  <c r="M75" i="26"/>
  <c r="L75" i="26"/>
  <c r="K75" i="26"/>
  <c r="O74" i="26"/>
  <c r="N74" i="26"/>
  <c r="M74" i="26"/>
  <c r="L74" i="26"/>
  <c r="K74" i="26"/>
  <c r="O73" i="26"/>
  <c r="N73" i="26"/>
  <c r="M73" i="26"/>
  <c r="L73" i="26"/>
  <c r="K73" i="26"/>
  <c r="O72" i="26"/>
  <c r="N72" i="26"/>
  <c r="M72" i="26"/>
  <c r="L72" i="26"/>
  <c r="K72" i="26"/>
  <c r="O71" i="26"/>
  <c r="N71" i="26"/>
  <c r="M71" i="26"/>
  <c r="L71" i="26"/>
  <c r="K71" i="26"/>
  <c r="O70" i="26"/>
  <c r="N70" i="26"/>
  <c r="M70" i="26"/>
  <c r="L70" i="26"/>
  <c r="K70" i="26"/>
  <c r="O69" i="26"/>
  <c r="N69" i="26"/>
  <c r="M69" i="26"/>
  <c r="L69" i="26"/>
  <c r="K69" i="26"/>
  <c r="O35" i="26"/>
  <c r="N35" i="26"/>
  <c r="M35" i="26"/>
  <c r="L35" i="26"/>
  <c r="K35" i="26"/>
  <c r="O34" i="26"/>
  <c r="N34" i="26"/>
  <c r="M34" i="26"/>
  <c r="L34" i="26"/>
  <c r="K34" i="26"/>
  <c r="O33" i="26"/>
  <c r="N33" i="26"/>
  <c r="M33" i="26"/>
  <c r="L33" i="26"/>
  <c r="K33" i="26"/>
  <c r="O32" i="26"/>
  <c r="N32" i="26"/>
  <c r="M32" i="26"/>
  <c r="L32" i="26"/>
  <c r="K32" i="26"/>
  <c r="O31" i="26"/>
  <c r="N31" i="26"/>
  <c r="M31" i="26"/>
  <c r="L31" i="26"/>
  <c r="K31" i="26"/>
  <c r="O30" i="26"/>
  <c r="N30" i="26"/>
  <c r="M30" i="26"/>
  <c r="L30" i="26"/>
  <c r="K30" i="26"/>
  <c r="O29" i="26"/>
  <c r="N29" i="26"/>
  <c r="M29" i="26"/>
  <c r="L29" i="26"/>
  <c r="K29" i="26"/>
  <c r="O28" i="26"/>
  <c r="N28" i="26"/>
  <c r="M28" i="26"/>
  <c r="L28" i="26"/>
  <c r="K28" i="26"/>
  <c r="O27" i="26"/>
  <c r="N27" i="26"/>
  <c r="M27" i="26"/>
  <c r="L27" i="26"/>
  <c r="K27" i="26"/>
  <c r="O26" i="26"/>
  <c r="N26" i="26"/>
  <c r="M26" i="26"/>
  <c r="L26" i="26"/>
  <c r="K26" i="26"/>
  <c r="O25" i="26"/>
  <c r="N25" i="26"/>
  <c r="M25" i="26"/>
  <c r="L25" i="26"/>
  <c r="K25" i="26"/>
  <c r="O24" i="26"/>
  <c r="N24" i="26"/>
  <c r="M24" i="26"/>
  <c r="L24" i="26"/>
  <c r="K24" i="26"/>
  <c r="O23" i="26"/>
  <c r="N23" i="26"/>
  <c r="M23" i="26"/>
  <c r="L23" i="26"/>
  <c r="K23" i="26"/>
  <c r="O22" i="26"/>
  <c r="N22" i="26"/>
  <c r="M22" i="26"/>
  <c r="L22" i="26"/>
  <c r="K22" i="26"/>
  <c r="O21" i="26"/>
  <c r="N21" i="26"/>
  <c r="M21" i="26"/>
  <c r="L21" i="26"/>
  <c r="K21" i="26"/>
  <c r="O20" i="26"/>
  <c r="N20" i="26"/>
  <c r="M20" i="26"/>
  <c r="L20" i="26"/>
  <c r="K20" i="26"/>
  <c r="O19" i="26"/>
  <c r="N19" i="26"/>
  <c r="M19" i="26"/>
  <c r="L19" i="26"/>
  <c r="K19" i="26"/>
  <c r="O18" i="26"/>
  <c r="N18" i="26"/>
  <c r="M18" i="26"/>
  <c r="L18" i="26"/>
  <c r="K18" i="26"/>
  <c r="O17" i="26"/>
  <c r="N17" i="26"/>
  <c r="M17" i="26"/>
  <c r="L17" i="26"/>
  <c r="K17" i="26"/>
  <c r="O16" i="26"/>
  <c r="N16" i="26"/>
  <c r="M16" i="26"/>
  <c r="L16" i="26"/>
  <c r="K16" i="26"/>
  <c r="O15" i="26"/>
  <c r="N15" i="26"/>
  <c r="M15" i="26"/>
  <c r="L15" i="26"/>
  <c r="K15" i="26"/>
  <c r="O14" i="26"/>
  <c r="N14" i="26"/>
  <c r="M14" i="26"/>
  <c r="L14" i="26"/>
  <c r="K14" i="26"/>
  <c r="O13" i="26"/>
  <c r="N13" i="26"/>
  <c r="M13" i="26"/>
  <c r="L13" i="26"/>
  <c r="K13" i="26"/>
  <c r="O12" i="26"/>
  <c r="N12" i="26"/>
  <c r="M12" i="26"/>
  <c r="L12" i="26"/>
  <c r="K12" i="26"/>
  <c r="O11" i="26"/>
  <c r="N11" i="26"/>
  <c r="M11" i="26"/>
  <c r="L11" i="26"/>
  <c r="K11" i="26"/>
  <c r="O10" i="26"/>
  <c r="N10" i="26"/>
  <c r="M10" i="26"/>
  <c r="L10" i="26"/>
  <c r="K10" i="26"/>
  <c r="O9" i="26"/>
  <c r="N9" i="26"/>
  <c r="M9" i="26"/>
  <c r="L9" i="26"/>
  <c r="K9" i="26"/>
  <c r="O8" i="26"/>
  <c r="N8" i="26"/>
  <c r="M8" i="26"/>
  <c r="L8" i="26"/>
  <c r="K8" i="26"/>
  <c r="O7" i="26"/>
  <c r="N7" i="26"/>
  <c r="M7" i="26"/>
  <c r="L7" i="26"/>
  <c r="K7" i="26"/>
  <c r="O6" i="26"/>
  <c r="N6" i="26"/>
  <c r="M6" i="26"/>
  <c r="L6" i="26"/>
  <c r="K6" i="26"/>
  <c r="O5" i="26"/>
  <c r="N5" i="26"/>
  <c r="M5" i="26"/>
  <c r="L5" i="26"/>
  <c r="K5" i="26"/>
  <c r="O4" i="26"/>
  <c r="N4" i="26"/>
  <c r="M4" i="26"/>
  <c r="L4" i="26"/>
  <c r="K4" i="26"/>
  <c r="O3" i="26"/>
  <c r="N3" i="26"/>
  <c r="M3" i="26"/>
  <c r="L3" i="26"/>
  <c r="K3" i="26"/>
  <c r="O2" i="26"/>
  <c r="N2" i="26"/>
  <c r="M2" i="26"/>
  <c r="L2" i="26"/>
  <c r="K2" i="26"/>
  <c r="A30" i="42" l="1"/>
  <c r="A103" i="42"/>
  <c r="A33" i="41"/>
  <c r="A34" i="41" l="1"/>
  <c r="A104" i="42"/>
  <c r="A31" i="42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105" i="42" l="1"/>
  <c r="A35" i="41"/>
  <c r="A32" i="42"/>
  <c r="A33" i="42" l="1"/>
  <c r="A36" i="41"/>
  <c r="A106" i="42"/>
  <c r="A107" i="42" l="1"/>
  <c r="A37" i="41"/>
  <c r="A34" i="42"/>
  <c r="A35" i="42" l="1"/>
  <c r="A108" i="42"/>
  <c r="A38" i="41"/>
  <c r="A39" i="41" l="1"/>
  <c r="A109" i="42"/>
  <c r="A36" i="42"/>
  <c r="A37" i="42" l="1"/>
  <c r="A110" i="42"/>
  <c r="A40" i="41"/>
  <c r="A41" i="41" l="1"/>
  <c r="A111" i="42"/>
  <c r="A38" i="42"/>
  <c r="A112" i="42" l="1"/>
  <c r="A42" i="41"/>
  <c r="A39" i="42"/>
  <c r="A40" i="42" l="1"/>
  <c r="A43" i="41"/>
  <c r="A113" i="42"/>
  <c r="A114" i="42" l="1"/>
  <c r="A44" i="41"/>
  <c r="A41" i="42"/>
  <c r="A42" i="42" l="1"/>
  <c r="A45" i="41"/>
  <c r="A115" i="42"/>
  <c r="A46" i="41" l="1"/>
  <c r="A43" i="42"/>
  <c r="A116" i="42"/>
  <c r="A117" i="42" l="1"/>
  <c r="A44" i="42"/>
  <c r="A47" i="41"/>
  <c r="A48" i="41" l="1"/>
  <c r="A45" i="42"/>
  <c r="A118" i="42"/>
  <c r="A46" i="42" l="1"/>
  <c r="A119" i="42"/>
  <c r="A49" i="41"/>
  <c r="A50" i="41" l="1"/>
  <c r="A120" i="42"/>
  <c r="A47" i="42"/>
  <c r="A48" i="42" l="1"/>
  <c r="A121" i="42"/>
  <c r="A51" i="41"/>
  <c r="A52" i="41" l="1"/>
  <c r="A49" i="42"/>
  <c r="A50" i="42" l="1"/>
  <c r="A53" i="41"/>
  <c r="A54" i="41" l="1"/>
  <c r="A51" i="42"/>
  <c r="A52" i="42" l="1"/>
  <c r="A55" i="41"/>
  <c r="A56" i="41" l="1"/>
  <c r="A53" i="42"/>
  <c r="A54" i="42" l="1"/>
  <c r="A57" i="41"/>
  <c r="A58" i="41" l="1"/>
  <c r="A55" i="42"/>
  <c r="A56" i="42" l="1"/>
  <c r="A59" i="41"/>
  <c r="A60" i="41" l="1"/>
  <c r="A57" i="42"/>
  <c r="A58" i="42" l="1"/>
  <c r="A61" i="41"/>
  <c r="A62" i="41" l="1"/>
  <c r="A59" i="42"/>
  <c r="A63" i="41" l="1"/>
  <c r="A60" i="42"/>
  <c r="A64" i="41" l="1"/>
  <c r="A61" i="42"/>
  <c r="A62" i="42" l="1"/>
  <c r="A65" i="41"/>
  <c r="A66" i="41" l="1"/>
  <c r="A63" i="42"/>
  <c r="A64" i="42" l="1"/>
  <c r="A67" i="41"/>
  <c r="A68" i="41" l="1"/>
  <c r="A65" i="42"/>
  <c r="A66" i="42" l="1"/>
  <c r="A67" i="42" l="1"/>
  <c r="A68" i="42" l="1"/>
  <c r="A69" i="4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2" authorId="0" shapeId="0" xr:uid="{E19219DD-6E02-440D-B311-E6294CD2DDF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Highlight vàng: Không có pallet
Chữ đỏ: Pallet phát sinh sau mốc 1/1/2026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U74" authorId="0" shapeId="0" xr:uid="{C0A0F6C4-A286-410E-A9B5-7CA81720EF7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THEO GIÁ THẦU GỞI MAIL NAGFY 1/12/26, GIẢM 2,4%</t>
        </r>
      </text>
    </comment>
  </commentList>
</comments>
</file>

<file path=xl/sharedStrings.xml><?xml version="1.0" encoding="utf-8"?>
<sst xmlns="http://schemas.openxmlformats.org/spreadsheetml/2006/main" count="3088" uniqueCount="710">
  <si>
    <t>STT</t>
  </si>
  <si>
    <t>Tuyến đường đến:</t>
  </si>
  <si>
    <t>≤ 2,5 tấn</t>
  </si>
  <si>
    <t>&gt;08-16 tấn</t>
  </si>
  <si>
    <t>&gt;16-23 tấn</t>
  </si>
  <si>
    <t>&gt;23 tấn</t>
  </si>
  <si>
    <t>vnđ/chuyến</t>
  </si>
  <si>
    <t>vnđ/tấn</t>
  </si>
  <si>
    <t>Long An</t>
  </si>
  <si>
    <t>Tây Ninh</t>
  </si>
  <si>
    <t>Bình Phước</t>
  </si>
  <si>
    <t>Kon Tum</t>
  </si>
  <si>
    <t>Ninh Thuận</t>
  </si>
  <si>
    <t>Quảng Ngãi</t>
  </si>
  <si>
    <t>Quảng Nam</t>
  </si>
  <si>
    <t>Đà Nẵng</t>
  </si>
  <si>
    <t>Huế</t>
  </si>
  <si>
    <t>Quảng Trị</t>
  </si>
  <si>
    <t>Bến Tre</t>
  </si>
  <si>
    <t>Vĩnh Long</t>
  </si>
  <si>
    <t>Cần Thơ</t>
  </si>
  <si>
    <t>Sóc Trăng</t>
  </si>
  <si>
    <t>Bạc Liêu</t>
  </si>
  <si>
    <t>Kiên Giang</t>
  </si>
  <si>
    <t xml:space="preserve"> &gt;3 - ≤7 tấn</t>
  </si>
  <si>
    <t xml:space="preserve"> &gt;7 - ≤10 tấn</t>
  </si>
  <si>
    <t xml:space="preserve"> &gt;10 tấn</t>
  </si>
  <si>
    <t>An Giang</t>
  </si>
  <si>
    <t>Hậu Giang</t>
  </si>
  <si>
    <t>01/01/2025</t>
  </si>
  <si>
    <t>HCM</t>
  </si>
  <si>
    <t>Bình Định</t>
  </si>
  <si>
    <t>Cà Mau</t>
  </si>
  <si>
    <t>Khánh Hòa</t>
  </si>
  <si>
    <t>Phú Yên</t>
  </si>
  <si>
    <t>Trà Vinh</t>
  </si>
  <si>
    <t>&gt;2.5-8 tấn</t>
  </si>
  <si>
    <t>Bà Rịa - Vũng Tàu</t>
  </si>
  <si>
    <t>An Giang - Châu Đốc</t>
  </si>
  <si>
    <t>Cà Mau - Năm Căn</t>
  </si>
  <si>
    <t>Gia Lai - An Khê</t>
  </si>
  <si>
    <t>Tỉnh/TP (KH/NCC)</t>
  </si>
  <si>
    <t>Quận/Huyện</t>
  </si>
  <si>
    <t>≥ 15 tấn</t>
  </si>
  <si>
    <t>Châu Đốc</t>
  </si>
  <si>
    <t>Long Xuyên</t>
  </si>
  <si>
    <t>Bà Rịa</t>
  </si>
  <si>
    <t>Hoài Nhơn</t>
  </si>
  <si>
    <t>Quy Nhơn</t>
  </si>
  <si>
    <t>Bình Dương</t>
  </si>
  <si>
    <t>Bàu Bàng</t>
  </si>
  <si>
    <t>Bến Cát</t>
  </si>
  <si>
    <t>Dầu Tiếng</t>
  </si>
  <si>
    <t>Dĩ An</t>
  </si>
  <si>
    <t>Phú Giáo</t>
  </si>
  <si>
    <t>Tân Uyên</t>
  </si>
  <si>
    <t>Thủ Dầu Một</t>
  </si>
  <si>
    <t>Thuận An</t>
  </si>
  <si>
    <t>Bình Thuận</t>
  </si>
  <si>
    <t>La Gi</t>
  </si>
  <si>
    <t>Phan Thiết</t>
  </si>
  <si>
    <t>Tuy Phong</t>
  </si>
  <si>
    <t>Năm Căn</t>
  </si>
  <si>
    <t>Ô Môn</t>
  </si>
  <si>
    <t>Thốt Nốt</t>
  </si>
  <si>
    <t>Dak Lak</t>
  </si>
  <si>
    <t>Buôn Hồ</t>
  </si>
  <si>
    <t>Dak Nong</t>
  </si>
  <si>
    <t>Dak Mil</t>
  </si>
  <si>
    <t>Đồng Nai</t>
  </si>
  <si>
    <t>Biên Hòa</t>
  </si>
  <si>
    <t>Cẩm Mỹ</t>
  </si>
  <si>
    <t>Định Quán</t>
  </si>
  <si>
    <t>Long Khánh</t>
  </si>
  <si>
    <t>Long Thành</t>
  </si>
  <si>
    <t>Nhơn Trạch</t>
  </si>
  <si>
    <t>Tân Phú</t>
  </si>
  <si>
    <t>Trảng Bom</t>
  </si>
  <si>
    <t>Xuân Lộc</t>
  </si>
  <si>
    <t>Đồng Tháp</t>
  </si>
  <si>
    <t>Cao Lãnh</t>
  </si>
  <si>
    <t>Hồng Ngự</t>
  </si>
  <si>
    <t>Sa Đéc</t>
  </si>
  <si>
    <t>Gia Lai</t>
  </si>
  <si>
    <t>An Khê</t>
  </si>
  <si>
    <t>Ayunpa</t>
  </si>
  <si>
    <t>Chư Sê</t>
  </si>
  <si>
    <t>Phú Túc</t>
  </si>
  <si>
    <t>Pleiku</t>
  </si>
  <si>
    <t>Củ Chi</t>
  </si>
  <si>
    <t>Nhà Bè</t>
  </si>
  <si>
    <t>Cam Ranh</t>
  </si>
  <si>
    <t>Hà Tiên</t>
  </si>
  <si>
    <t>Phú Quốc</t>
  </si>
  <si>
    <t>Lâm Đồng</t>
  </si>
  <si>
    <t>Bảo Lộc</t>
  </si>
  <si>
    <t>Đà Lạt</t>
  </si>
  <si>
    <t>Đức Trọng</t>
  </si>
  <si>
    <t>Cần Giuộc</t>
  </si>
  <si>
    <t>Mộc Hóa</t>
  </si>
  <si>
    <t>Gò Dầu</t>
  </si>
  <si>
    <t>Hòa Thành</t>
  </si>
  <si>
    <t>Trảng Bàng</t>
  </si>
  <si>
    <t>Tiền Giang</t>
  </si>
  <si>
    <t>Cai Lậy</t>
  </si>
  <si>
    <t>Mỹ Tho</t>
  </si>
  <si>
    <t>01/02/2025 (+ 3,35%)</t>
  </si>
  <si>
    <t>01/03/2025 (- 2,46%)</t>
  </si>
  <si>
    <t>01/05/2025 (- 3,02%)</t>
  </si>
  <si>
    <t>01/07/2025 (+ 4,98%)</t>
  </si>
  <si>
    <t>Tuyến mới:</t>
  </si>
  <si>
    <t>HCM - Bà Rịa/ Phú Mỹ/ Tân Phước / Châu Pha / Hồ Tràm / Long Điền/ Ngãi Giao</t>
  </si>
  <si>
    <t>Cà Mau - Bạc Liêu/ Giá Rai</t>
  </si>
  <si>
    <t>Vĩnh Long - Phú Khương/ Phú Tân/ Sơn Đông/ Phú Túc</t>
  </si>
  <si>
    <t>Đồng Nai - Bình Long/ Bình Phước/ Phước Bình/ Đồng Phú/ Lộc Ninh</t>
  </si>
  <si>
    <t>Lâm Đồng - La Gi</t>
  </si>
  <si>
    <t>Lâm Đồng - Hàm Thắng/ Phú Thủy/ Tuyên Quang/ Lương Sơn</t>
  </si>
  <si>
    <t>Lâm Đồng - Phan Rí Cửa</t>
  </si>
  <si>
    <t>Cần Thơ - Ô Môn/ Phước Thới</t>
  </si>
  <si>
    <t>Cần Thơ - Thốt Nốt/ Thuận Hưng/ Trung Nhứt</t>
  </si>
  <si>
    <t>Đắk Lắk</t>
  </si>
  <si>
    <t>Đắk Lắk - Buôn Hồ</t>
  </si>
  <si>
    <t>Lâm Đồng - Bắc Gia Nghĩa</t>
  </si>
  <si>
    <t>Lâm Đồng - Đức Lập</t>
  </si>
  <si>
    <t>Đồng Tháp - Cao Lãnh/ Lấp Vò/ Thanh Bình</t>
  </si>
  <si>
    <t>Đồng Tháp - An Bình/ Thường Lạc</t>
  </si>
  <si>
    <t>Đồng Tháp - Sa Đéc/ Tân Nhuận Đông</t>
  </si>
  <si>
    <t>Gia Lai - Diên Hồng/ Hội Phú/ Pleiku</t>
  </si>
  <si>
    <t>Gia Lai - Phú Túc/Ayunpa/Chư Sê</t>
  </si>
  <si>
    <t>Cần Thơ - Vị Tân/ Châu Thành/ Tân Hòa/ Thạnh Hòa/ Thạnh Xuân</t>
  </si>
  <si>
    <t>HCM - KCN Hiệp Phước</t>
  </si>
  <si>
    <t>Khánh Hòa - Bắc Cam Ranh/ Cam Linh</t>
  </si>
  <si>
    <t>An Giang - Rạch Giá/ Châu Thành/ Thạnh Lộc</t>
  </si>
  <si>
    <t>An Giang - Đặc Khu Phú Quốc</t>
  </si>
  <si>
    <t>Quảng Ngãi - Đăk Cấm/ Kon Tum/ Bờ Y</t>
  </si>
  <si>
    <t>Lâm Đồng - Bảo Lộc / B'Lao</t>
  </si>
  <si>
    <t>Lâm Đồng - Lâm Viên-Đà Lạt/ Xuân Hương-Đà Lạt/ Đơn Dương</t>
  </si>
  <si>
    <t>Lâm Đồng - Đức Trọng/ Hiệp Thạnh/ Phú Hội</t>
  </si>
  <si>
    <t xml:space="preserve">Tây Ninh - Khánh Hậu/ Long An/ Tân An/ Bến Lức/ Bình Đức/ Cần Giuộc/ Đức Hòa/ Đức Lập/ Hậu Nghĩa/ Hòa Khánh/ Long Cang/ Mỹ Hạnh/ Mỹ Yên/ Rạch Kiến / Tân Lân </t>
  </si>
  <si>
    <t>Tây Ninh - NPP Mộc Hóa</t>
  </si>
  <si>
    <t>Khánh Hòa - Đông Hải/ Phan Rang</t>
  </si>
  <si>
    <t>Đắk Lắk - Hòa Hiệp/ Tuy Hòa/ Bình Kiến</t>
  </si>
  <si>
    <t>Đà Nẵng - An Thắng/ Điện Bàn Bắc/ Điện Bàn Đông/ Tam Kỳ</t>
  </si>
  <si>
    <t>Cần Thơ - Phú Lợi/ An Ninh</t>
  </si>
  <si>
    <t xml:space="preserve">Đồng Tháp - Cai Lậy / Sơn Qui/ Hội Cư/ Ngũ Hiệp </t>
  </si>
  <si>
    <t>Đồng Tháp - Đạo Thạnh/ Mỹ Phong/ Mỹ Tho/ Trung An/ Tân Phước 3</t>
  </si>
  <si>
    <t>HCM - Củ Chi(Đường nhỏ)</t>
  </si>
  <si>
    <t>HCM - Bình Mỹ/ Củ Chi / Nhuận Đức/ Tân An Hội/ Thái Mỹ / Phú Hòa Đông</t>
  </si>
  <si>
    <t>HCM - Phước Thắng/ Tam Thắng</t>
  </si>
  <si>
    <t>HCM - An Phú/ Bình Dương/ Bình Hòa/ Chánh Hiệp/ Dĩ An/ Đông Hòa/ Lái Thiêu/ Phú An/ Phú Lợi/ Tân Đông Hiệp/ Thủ Dầu Một/ Thuận An/ Thuận Giao</t>
  </si>
  <si>
    <t>HCM - Bến Cát/ Hòa Lợi/ Hòa Phú/ Long Nguyên/ Mỹ Phước/ Tân Hiệp/ Tân Khánh/ Tân Uyên/ Tây Nam/ Thới Hòa/ Vĩnh Tân/ Bắc Tân Uyên</t>
  </si>
  <si>
    <t>HCM - Bàu Bàng/ Long Hòa/ Phước Hòa…</t>
  </si>
  <si>
    <t>Đồng Nai - Long Bình/ Long Hưng/ Tam Hiệp/ Tam Phước/ Tân Triều/ Trấn Biên/ Trảng Dài/ An Phước/ Bình An/ Long Thành/ Nhơn Trạch</t>
  </si>
  <si>
    <t>Đồng Nai - Bảo Vinh/ Bình Lộc/ Hàng Gòn/ Hố Nai/ Bình Minh/ Hưng Thịnh/ Trảng Bom</t>
  </si>
  <si>
    <t>An Giang - Hà Tiên</t>
  </si>
  <si>
    <t>Đồng Nai - La Ngà/ Tân Phú/ Xuân Lộc/ Xuân Phú</t>
  </si>
  <si>
    <t>Gia Lai - Bình Định/ Quy Nhơn/ Quy Nhơn Đông/ Quy Nhơn Nam/ Quy Nhơn Tây</t>
  </si>
  <si>
    <t>Gia Lai - Bồng Sơn/ An Nhơn Nam/ An Nhơn Tây</t>
  </si>
  <si>
    <t>Tây Ninh - An Tịnh/ Gò Dầu/ Hòa Thành/ Long Hoa/ Thanh Điền/ Trảng Bàng/ Tân Ninh</t>
  </si>
  <si>
    <t>Tây Ninh - Cần Giuộc</t>
  </si>
  <si>
    <t xml:space="preserve">Tây Ninh - Khánh Hậu/ Long An/ Tân An/ Bến Lức/ Bình Đức/ Đức Hòa/ Đức Lập/ Hậu Nghĩa/ Hòa Khánh/ Long Cang/ Mỹ Hạnh/ Mỹ Yên/ Rạch Kiến / Tân Lân </t>
  </si>
  <si>
    <t>TP, Hồ Chí Minh</t>
  </si>
  <si>
    <t>TP, Hồ Chí Minh (Đường nhỏ)</t>
  </si>
  <si>
    <t>Vĩnh Long - Long Đức/ Nguyệt Hóa / Trà Vinh</t>
  </si>
  <si>
    <t>&gt;2.5-8 tấn (Cước tính min 5 tấn)</t>
  </si>
  <si>
    <t>Giá pallet</t>
  </si>
  <si>
    <t>Vĩnh Long - Long Đức/ Nguyệt Hóa/ Trà Vinh</t>
  </si>
  <si>
    <t>&gt;25-8 tấn (Cước tính min 5 tấn)</t>
  </si>
  <si>
    <t>Bình Dương, Bến Cát/ Tân Uyên,..</t>
  </si>
  <si>
    <t>HCM, Bến Cát/ Hòa Lợi/ Hòa Phú/ Long Nguyên/ Mỹ Phước/ Tân Hiệp/ Tân Khánh/ Tân Uyên/ Tây Nam/ Thới Hòa/ Vĩnh Tân/ Bắc Tân Uyên</t>
  </si>
  <si>
    <t>Bình Dương, Phú Giáo/ Bầu Bàng/ Dầu Tiếng,…</t>
  </si>
  <si>
    <t>HCM, Bàu Bàng/ Long Hòa/ Phước Hòa</t>
  </si>
  <si>
    <t>Bình Dương, Thủ Dầu Một/ Dĩ An/ Thuận An,…</t>
  </si>
  <si>
    <t>HCM, An Phú/ Bình Dương/ Bình Hòa/ Chánh Hiệp/ Dĩ An/ Đông Hòa/ Lái Thiêu/ Phú An/ Phú Lợi/ Tân Đông Hiệp/ Thủ Dầu Một/ Thuận An/ Thuận Giao</t>
  </si>
  <si>
    <t>Đồng Nai, Bình Long/ Bình Phước/ Phước Bình/ Đồng Phú/ Lộc Ninh</t>
  </si>
  <si>
    <t>Đồng Nai, Biên Hòa/ Long Thành/ Nhơn Trạch,…</t>
  </si>
  <si>
    <t>Đồng Nai, Long Bình/ Long Hưng/ Tam Hiệp/ Tam Phước/ Tân Triều/ Trấn Biên/ Trảng Dài/ An Phước/ Bình An/ Long Thành/ Nhơn Trạch</t>
  </si>
  <si>
    <t>Đồng Nai, Định Quán/ Tân Phú/ Xuân Lộc,…</t>
  </si>
  <si>
    <t>Đồng Nai, La Ngà/ Tân Phú/ Xuân Lộc/ Xuân Phú</t>
  </si>
  <si>
    <t>Xe pallet</t>
  </si>
  <si>
    <t>Đồng Nai, Trảng Bom/ Long Khánh/ Cẩm Mỹ,…</t>
  </si>
  <si>
    <t>Đồng Nai, Bảo Vinh/ Bình Lộc/ Hàng Gòn/ Hố Nai/ Bình Minh/ Hưng Thịnh/ Trảng Bom</t>
  </si>
  <si>
    <t>TP. Hồ Chí Minh</t>
  </si>
  <si>
    <t>TP. Hồ Chí Minh - Củ Chi</t>
  </si>
  <si>
    <t>HCM, Bình Mỹ/ Củ Chi / Nhuận Đức/ Tân An Hội/ Thái Mỹ / Phú Hòa Đông</t>
  </si>
  <si>
    <t>TP. Hồ Chí Minh - Củ Chi (Đường nhỏ)</t>
  </si>
  <si>
    <t>HCM , Củ Chi(Đường nhỏ)</t>
  </si>
  <si>
    <t>TP. Hồ Chí Minh - Nhà Bè</t>
  </si>
  <si>
    <t>HCM, KCN Hiệp Phước</t>
  </si>
  <si>
    <t>Tây Ninh, Khánh Hậu/ Long An/ Tân An/ Bến Lức/ Bình Đức/ Đức Hòa/ Đức Lập/ Hậu Nghĩa/ Hòa Khánh/ Long Cang/ Mỹ Hạnh/ Mỹ Yên/ Rạch Kiến/ Tân Lân</t>
  </si>
  <si>
    <t>Long An, Cần Giuộc</t>
  </si>
  <si>
    <t>Tây Ninh,  Cần Giuộc</t>
  </si>
  <si>
    <t>Long An - Mộc Hóa</t>
  </si>
  <si>
    <t>Tây Ninh, Hòa Thành/ Gò Dầu/ Trảng Bàng,…</t>
  </si>
  <si>
    <t>Tây Ninh , An Tịnh/ Gò Dầu/ Hòa Thành/ Long Hoa/ Thanh Điền/ Trảng Bàng/ Tân Ninh</t>
  </si>
  <si>
    <t>Vũng Tàu</t>
  </si>
  <si>
    <t>HCM, Phước Thắng/ Tam Thắng</t>
  </si>
  <si>
    <t>Vũng Tàu, Bà Rịa</t>
  </si>
  <si>
    <t>HCM, Bà Rịa/ Phú Mỹ/ Tân Phước / Châu Pha / Hồ Tràm / Long Điền/ Ngãi Giao</t>
  </si>
  <si>
    <t>Giá cước</t>
  </si>
  <si>
    <t>Ghi chú</t>
  </si>
  <si>
    <t>MCC, kho Calofic, các kho thuê của MCC- các kho thuê của MCC, kho Calofic, MCC và ngược lại</t>
  </si>
  <si>
    <t>Vnd/Chuyến</t>
  </si>
  <si>
    <t>01-2 chuyến/xe/ngày</t>
  </si>
  <si>
    <t>3 chuyến/xe/ngày</t>
  </si>
  <si>
    <t>4-5 chuyến/xe/ngày</t>
  </si>
  <si>
    <t>6 chuyến trở lên chuyến/xe/ngày</t>
  </si>
  <si>
    <t>Tuyến cũ:</t>
  </si>
  <si>
    <t>An Giang, Châu Đốc</t>
  </si>
  <si>
    <t>An Giang, Long Xuyên</t>
  </si>
  <si>
    <t>Cà Mau, Bạc Liêu/ Giá Rai</t>
  </si>
  <si>
    <t>Vĩnh Long, Phú Khương/ Phú Tân/ Sơn Đông/ Phú Túc</t>
  </si>
  <si>
    <t>Gia Lai, Bồng Sơn/ An Nhơn Nam/ An Nhơn Tây</t>
  </si>
  <si>
    <t>Bình Định, Quy Nhơn</t>
  </si>
  <si>
    <t>Gia Lai, Bình Định/ Quy Nhơn/ Quy Nhơn Đông/ Quy Nhơn Nam/ Quy Nhơn Tây</t>
  </si>
  <si>
    <t>Bình Thuận, Lagi</t>
  </si>
  <si>
    <t>Lâm Đồng, La Gi</t>
  </si>
  <si>
    <t>Bình Thuận, Phan Thiết</t>
  </si>
  <si>
    <t>Lâm Đồng, Hàm Thắng/ Phú Thủy/ Tuyên Quang/ Lương Sơn</t>
  </si>
  <si>
    <t>Bình Thuận, Tuy Phong</t>
  </si>
  <si>
    <t>Lâm Đồng, Phan Rí Cửa</t>
  </si>
  <si>
    <t>Cà Mau, Năm Căn</t>
  </si>
  <si>
    <t>Cần Thơ, Ô Môn</t>
  </si>
  <si>
    <t>Cần Thơ, Ô Môn/ Phước Thới</t>
  </si>
  <si>
    <t>Cần Thơ, Thốt Nốt</t>
  </si>
  <si>
    <t>Cần Thơ, Thốt Nốt/ Thuận Hưng/ Trung Nhứt</t>
  </si>
  <si>
    <t>Đà Nẵng, An Thắng/ Điện Bàn Bắc/ Điện Bàn Đông/ Tam Kỳ</t>
  </si>
  <si>
    <t>Đak Lak</t>
  </si>
  <si>
    <t>Đak Lak, Buôn Hồ</t>
  </si>
  <si>
    <t>Đăk Lăk, Buôn Hồ</t>
  </si>
  <si>
    <t>Đak Nông</t>
  </si>
  <si>
    <t>Lâm Đồng, Bắc Gia Nghĩa</t>
  </si>
  <si>
    <t>Đak Nông, Đak Mil</t>
  </si>
  <si>
    <t>Lâm Đồng, Đức Lập</t>
  </si>
  <si>
    <t>Đồng Tháp, Cao Lãnh</t>
  </si>
  <si>
    <t>Đồng Tháp, Cao Lãnh/ Lấp Vò/ Thanh Bình</t>
  </si>
  <si>
    <t>Đồng Tháp, Hồng Ngự</t>
  </si>
  <si>
    <t>Đồng Tháp, An Bình/ Thường Lạc</t>
  </si>
  <si>
    <t>Đồng Tháp, Sa Đéc</t>
  </si>
  <si>
    <t>Đồng Tháp, Sa Đéc/ Tân Nhuận Đông</t>
  </si>
  <si>
    <t>Gia Lai, An Khê</t>
  </si>
  <si>
    <t>Gia Lai, Chư Sê</t>
  </si>
  <si>
    <t>Gia Lai, Phú Túc/ Ayunpa/ Chư Sê</t>
  </si>
  <si>
    <t>Gia Lai, Pleiku</t>
  </si>
  <si>
    <t>Gia Lai, Diên Hồng/ Hội Phú/ Pleiku</t>
  </si>
  <si>
    <t>Cần Thơ, Vị Tân/ Châu Thành/ Tân Hòa/ Thạnh Hòa/ Thạnh Xuân</t>
  </si>
  <si>
    <t>HCM (Đường nhỏ)</t>
  </si>
  <si>
    <t>HCM, Củ Chi</t>
  </si>
  <si>
    <t>HCM, Nhà Bè</t>
  </si>
  <si>
    <t>Khánh Hòa, Cam Ranh</t>
  </si>
  <si>
    <t>Khánh Hòa, Bắc Cam Ranh/ Cam Linh</t>
  </si>
  <si>
    <t>An Giang, Rạch Giá/ Châu Thành/ Thạnh Lộc</t>
  </si>
  <si>
    <t>Kiên Giang, Hà Tiên</t>
  </si>
  <si>
    <t>An Giang, Hà Tiên</t>
  </si>
  <si>
    <t>Kiên Giang, Phú Quốc</t>
  </si>
  <si>
    <t>An Giang, Đặc Khu Phú Quốc</t>
  </si>
  <si>
    <t>Quảng Ngãi , Đăk Cấm/ Kon Tum/ Bờ Y</t>
  </si>
  <si>
    <t>Lâm Đồng, Bảo Lộc</t>
  </si>
  <si>
    <t>Lâm Đồng, Bảo Lộc / B'Lao</t>
  </si>
  <si>
    <t>Lâm Đồng, Đà Lạt</t>
  </si>
  <si>
    <t>Lâm Đồng, Lâm Viên-Đà Lạt/ Xuân Hương-Đà Lạt/ Đơn Dương</t>
  </si>
  <si>
    <t>Lâm Đồng, Đức Trọng</t>
  </si>
  <si>
    <t>Lâm Đồng, Đức Trọng/ Hiệp Thạnh/ Phú Hội</t>
  </si>
  <si>
    <t xml:space="preserve">Tây Ninh, Khánh Hậu/ Long An/ Tân An/ Bến Lức/ Bình Đức/ Đức Hòa/ Đức Lập/ Hậu Nghĩa/ Hòa Khánh/ Long Cang/ Mỹ Hạnh/ Mỹ Yên/ Rạch Kiến/ Tân Lân </t>
  </si>
  <si>
    <t>Long An, Mộc Hóa</t>
  </si>
  <si>
    <t>Tây Ninh, NPP Mộc Hóa</t>
  </si>
  <si>
    <t>Khánh Hòa, Đông Hải/ Phan Rang</t>
  </si>
  <si>
    <t>Đắk Lắk, Hòa Hiệp/ Tuy Hòa/ Bình Kiến</t>
  </si>
  <si>
    <t>Cần Thơ, Phú Lợi/ An Ninh</t>
  </si>
  <si>
    <t>Tây Ninh, An Tịnh/ Gò Dầu/ Hòa Thành/ Long Hoa/ Thanh Điền/ Trảng Bàng/ Tân Ninh</t>
  </si>
  <si>
    <t>Tiền Giang, Cai Lậy</t>
  </si>
  <si>
    <t xml:space="preserve">Đồng Tháp, Cai Lậy / Sơn Qui/ Hội Cư/ Ngũ Hiệp </t>
  </si>
  <si>
    <t>Tiền Giang, Mỹ Tho</t>
  </si>
  <si>
    <t>Đồng Tháp, Đạo Thạnh/ Mỹ Phong/ Mỹ Tho/ Trung An/ Tân Phước 3</t>
  </si>
  <si>
    <t>Vĩnh Long, Long Đức/ Nguyệt Hóa/ Trà Vinh</t>
  </si>
  <si>
    <t>TỈNH sau sáp nhập
(KH/ NCC)</t>
  </si>
  <si>
    <t>PHƯỜNG/ XÃ sau sáp nhập</t>
  </si>
  <si>
    <t>Ngày áp dụng</t>
  </si>
  <si>
    <t>Giá dầu DO</t>
  </si>
  <si>
    <t>Truck ≤2.5</t>
  </si>
  <si>
    <t>Truck ≥15</t>
  </si>
  <si>
    <t>8&lt; Truck ≤16</t>
  </si>
  <si>
    <t>16&lt; Truck ≤23</t>
  </si>
  <si>
    <t>Truck &gt;23</t>
  </si>
  <si>
    <t>-</t>
  </si>
  <si>
    <t>Châu Pha</t>
  </si>
  <si>
    <t>Hồ Tràm</t>
  </si>
  <si>
    <t>Long Điền</t>
  </si>
  <si>
    <t>Ngãi Giao</t>
  </si>
  <si>
    <t>Phú Mỹ</t>
  </si>
  <si>
    <t>Tân Phước</t>
  </si>
  <si>
    <t>Phước Thắng</t>
  </si>
  <si>
    <t>Tam Thắng</t>
  </si>
  <si>
    <t>Giá Rai</t>
  </si>
  <si>
    <t>Phú Khương</t>
  </si>
  <si>
    <t>Phú Tân</t>
  </si>
  <si>
    <t>Sơn Đông</t>
  </si>
  <si>
    <t>An Nhơn Nam</t>
  </si>
  <si>
    <t>An Nhơn Tây</t>
  </si>
  <si>
    <t>Bồng Sơn</t>
  </si>
  <si>
    <t>Quy Nhơn Đông</t>
  </si>
  <si>
    <t>Quy Nhơn Nam</t>
  </si>
  <si>
    <t>Quy Nhơn Tây</t>
  </si>
  <si>
    <t>Bắc Tân Uyên</t>
  </si>
  <si>
    <t>Hòa Lợi</t>
  </si>
  <si>
    <t>Hòa Phú</t>
  </si>
  <si>
    <t>Long Nguyên</t>
  </si>
  <si>
    <t>Mỹ Phước</t>
  </si>
  <si>
    <t>Tân Hiệp</t>
  </si>
  <si>
    <t>Tân Khánh</t>
  </si>
  <si>
    <t>Tây Nam</t>
  </si>
  <si>
    <t>Thới Hòa</t>
  </si>
  <si>
    <t>Vĩnh Tân</t>
  </si>
  <si>
    <t>Phước Hòa</t>
  </si>
  <si>
    <t>Chánh Hiệp</t>
  </si>
  <si>
    <t>Đông Hòa</t>
  </si>
  <si>
    <t>Lái Thiêu</t>
  </si>
  <si>
    <t>Phú An</t>
  </si>
  <si>
    <t>Phú Lợi</t>
  </si>
  <si>
    <t>Tân Đông Hiệp</t>
  </si>
  <si>
    <t>Long Hòa</t>
  </si>
  <si>
    <t>Bình Hòa</t>
  </si>
  <si>
    <t>An Phú</t>
  </si>
  <si>
    <t>Thuận Giao</t>
  </si>
  <si>
    <t>Bình Long</t>
  </si>
  <si>
    <t>Đồng Phú</t>
  </si>
  <si>
    <t>Lộc Ninh</t>
  </si>
  <si>
    <t>Phước Bình</t>
  </si>
  <si>
    <t>Hàm Thắng</t>
  </si>
  <si>
    <t>Lương Sơn</t>
  </si>
  <si>
    <t>Phú Thủy</t>
  </si>
  <si>
    <t>Tuyên Quang</t>
  </si>
  <si>
    <t>Phan Rí Cửa</t>
  </si>
  <si>
    <t>Phước Thới</t>
  </si>
  <si>
    <t>Thuận Hưng</t>
  </si>
  <si>
    <t>Trung Nhứt</t>
  </si>
  <si>
    <t>Bắc Gia Nghĩa</t>
  </si>
  <si>
    <t>Đức Lập</t>
  </si>
  <si>
    <t>Long Bình</t>
  </si>
  <si>
    <t>Tam Hiệp</t>
  </si>
  <si>
    <t>Tam Phước</t>
  </si>
  <si>
    <t>Tân Triều</t>
  </si>
  <si>
    <t>Trấn Biên</t>
  </si>
  <si>
    <t>Trảng Dài</t>
  </si>
  <si>
    <t>Bảo Vinh</t>
  </si>
  <si>
    <t>La Ngà</t>
  </si>
  <si>
    <t>Bình Lộc</t>
  </si>
  <si>
    <t>Bình Minh</t>
  </si>
  <si>
    <t>Hàng Gòn</t>
  </si>
  <si>
    <t>Hố Nai</t>
  </si>
  <si>
    <t>Hưng Thịnh</t>
  </si>
  <si>
    <t>Xuân Phú</t>
  </si>
  <si>
    <t>Lấp Vò</t>
  </si>
  <si>
    <t>Thanh Bình</t>
  </si>
  <si>
    <t>An Bình</t>
  </si>
  <si>
    <t>Thường Lạc</t>
  </si>
  <si>
    <t>Tân Nhuận Đông</t>
  </si>
  <si>
    <t>Diên Hồng</t>
  </si>
  <si>
    <t>Hội Phú</t>
  </si>
  <si>
    <t>Châu Thành</t>
  </si>
  <si>
    <t>Tân Hòa</t>
  </si>
  <si>
    <t>Thạnh Hòa</t>
  </si>
  <si>
    <t>Thạnh Xuân</t>
  </si>
  <si>
    <t>Vị Tân</t>
  </si>
  <si>
    <t>Bình Mỹ</t>
  </si>
  <si>
    <t>Củ Chi (Đường nhỏ)</t>
  </si>
  <si>
    <t>Đường nhỏ</t>
  </si>
  <si>
    <t>Nhuận Đức</t>
  </si>
  <si>
    <t>Phú Hòa Đông</t>
  </si>
  <si>
    <t>Tân An Hội</t>
  </si>
  <si>
    <t>Thái Mỹ</t>
  </si>
  <si>
    <t>KCN Hiệp Phước</t>
  </si>
  <si>
    <t>Bắc Cam Ranh</t>
  </si>
  <si>
    <t>Cam Linh</t>
  </si>
  <si>
    <t>Rạch Giá</t>
  </si>
  <si>
    <t>Thạnh Lộc</t>
  </si>
  <si>
    <t>Đặc khu Phú Quốc</t>
  </si>
  <si>
    <t>Bờ Y</t>
  </si>
  <si>
    <t>Dak Cấm</t>
  </si>
  <si>
    <t>B' Lao</t>
  </si>
  <si>
    <t>Đơn Dương</t>
  </si>
  <si>
    <t>Lâm Viên-Đà Lạt</t>
  </si>
  <si>
    <t>Xuân Hương-Đà Lạt</t>
  </si>
  <si>
    <t>Hiệp Thạnh</t>
  </si>
  <si>
    <t>Phú Hội</t>
  </si>
  <si>
    <t>Bến Lức</t>
  </si>
  <si>
    <t>Bình Đức</t>
  </si>
  <si>
    <t>Đức Hòa</t>
  </si>
  <si>
    <t>Hậu Nghĩa</t>
  </si>
  <si>
    <t>Hòa Khánh</t>
  </si>
  <si>
    <t>Khánh Hậu</t>
  </si>
  <si>
    <t>Long Cang</t>
  </si>
  <si>
    <t>Mỹ Hạnh</t>
  </si>
  <si>
    <t>Mỹ Yên</t>
  </si>
  <si>
    <t>Rạch Kiến</t>
  </si>
  <si>
    <t>Tân An</t>
  </si>
  <si>
    <t>Tân Lân</t>
  </si>
  <si>
    <t xml:space="preserve"> KCN Long Hậu</t>
  </si>
  <si>
    <t>Đông Hải</t>
  </si>
  <si>
    <t>Phan Rang</t>
  </si>
  <si>
    <t>Bình Kiến</t>
  </si>
  <si>
    <t>Hòa Hiệp</t>
  </si>
  <si>
    <t>Tuy Hòa</t>
  </si>
  <si>
    <t>An Thắng</t>
  </si>
  <si>
    <t>Điện Bàn Bắc</t>
  </si>
  <si>
    <t>Điện Bàn Đông</t>
  </si>
  <si>
    <t>Tam Kỳ</t>
  </si>
  <si>
    <t>An Ninh</t>
  </si>
  <si>
    <t>An Tịnh</t>
  </si>
  <si>
    <t>Long Hoa</t>
  </si>
  <si>
    <t>Tân Ninh</t>
  </si>
  <si>
    <t>Thanh Điền</t>
  </si>
  <si>
    <t>Hội Cư</t>
  </si>
  <si>
    <t>Ngũ Hiệp</t>
  </si>
  <si>
    <t>Sơn Qui</t>
  </si>
  <si>
    <t>Đạo Thạnh</t>
  </si>
  <si>
    <t>Mỹ Phong</t>
  </si>
  <si>
    <t>Tân Phước 3</t>
  </si>
  <si>
    <t>Trung An</t>
  </si>
  <si>
    <t>Long Đức</t>
  </si>
  <si>
    <t>Nguyệt Hóa</t>
  </si>
  <si>
    <t>Phước Tân</t>
  </si>
  <si>
    <t>Xuân Lập</t>
  </si>
  <si>
    <t>An Phước</t>
  </si>
  <si>
    <t>Bình An</t>
  </si>
  <si>
    <t>Long Phước</t>
  </si>
  <si>
    <t>GIÁ MỚI</t>
  </si>
  <si>
    <t>01/01/2026 (giảm 3,8%)-giá dầu 17,250</t>
  </si>
  <si>
    <t>01/01/2026
 (giảm 3,8%)-giá dầu 17,250</t>
  </si>
  <si>
    <t>HCM - Wincom Bình dương</t>
  </si>
  <si>
    <t>Pallet</t>
  </si>
  <si>
    <t>Hiệp Phước - Unidepot &amp; ngược lại (Áp dụng 1-3 chuyến/ xe/ ngày)</t>
  </si>
  <si>
    <t>Hiệp Phước - Unidepot &amp; ngược lại (Áp dụng &gt;  chuyến/ xe/ ngày)</t>
  </si>
  <si>
    <t>CLV ko có tuyến này</t>
  </si>
  <si>
    <t>TP HCM - Củ Chi(Đường nhỏ)</t>
  </si>
  <si>
    <t>Các Phường/Xã khác trực thuộc tỉnh An Giang</t>
  </si>
  <si>
    <t>Các Phường/Xã khác trực thuộc tỉnh Cà Mau</t>
  </si>
  <si>
    <t>Các Phường/Xã khác trực thuộc tỉnh Cần Thơ</t>
  </si>
  <si>
    <t>Các Phường/Xã khác trực thuộc tỉnh Đà Nẵng</t>
  </si>
  <si>
    <t>Các Phường/Xã khác trực thuộc tỉnh Đắk Lắk</t>
  </si>
  <si>
    <t>Các Phường/Xã khác trực thuộc TP Huế</t>
  </si>
  <si>
    <t>Các Phường/Xã khác trực thuộc tỉnh Khánh Hòa</t>
  </si>
  <si>
    <t>Các Phường/Xã khác trực thuộc tỉnh Quảng Ngãi</t>
  </si>
  <si>
    <t>Các Phường/Xã khác trực thuộc tỉnh Quảng Trị</t>
  </si>
  <si>
    <t>Các Phường/Xã khác trực thuộc tỉnh Tây Ninh</t>
  </si>
  <si>
    <t>Tây Ninh - Kiến Tường</t>
  </si>
  <si>
    <t>Các Phường/Xã khác trực thuộc tỉnh Vĩnh Long</t>
  </si>
  <si>
    <t>Các Phường/Xã trực thuộc tỉnh Khánh Hòa</t>
  </si>
  <si>
    <t>Các Phường/Xã trực thuộc tỉnh Tây Ninh</t>
  </si>
  <si>
    <t>Các Phường/Xã trực thuộc TP, Hồ Chí Minh</t>
  </si>
  <si>
    <t>Các Phường/Xã trực thuộc tỉnh Vĩnh Long</t>
  </si>
  <si>
    <t>Trung chuyển Unidepot &amp; ngược lại (Áp dụng 1-2 chuyến/ xe/ ngày) - chuyển đối lưu (đi hoặc về) áp dụng 70% đơn giá</t>
  </si>
  <si>
    <t>Trung chuyển Unidepot &amp; ngược lại (Áp dụng 3-5 chuyến/ xe/ ngày) - chuyển đối lưu (đi hoặc về) áp dụng 70% đơn giá</t>
  </si>
  <si>
    <t>Trung chuyển Unidepot &amp; ngược lại (Áp dụng từ 6 chuyến/ xe/ ngày) - chuyển đối lưu (đi hoặc về) áp dụng 70% đơn giá</t>
  </si>
  <si>
    <t>Nơi nhận</t>
  </si>
  <si>
    <t>Nơi giao</t>
  </si>
  <si>
    <t>HCM, Hiệp Phước</t>
  </si>
  <si>
    <t>Tây Ninh, Đức Hòa</t>
  </si>
  <si>
    <t xml:space="preserve"> </t>
  </si>
  <si>
    <t>Long Hưng</t>
  </si>
  <si>
    <t>An khê</t>
  </si>
  <si>
    <t>Thái Hòa Đông</t>
  </si>
  <si>
    <t>Lâm Viên - Đà Lạt</t>
  </si>
  <si>
    <t>Xuân Hương - Đà Lạt</t>
  </si>
  <si>
    <t>Hiệp Phước</t>
  </si>
  <si>
    <t xml:space="preserve"> Kon Tum</t>
  </si>
  <si>
    <t>Cần Đước</t>
  </si>
  <si>
    <t>Truck &lt;9</t>
  </si>
  <si>
    <t>TÍNH GIÁ TĂNG GIẢM THEO NGUYÊN LIỆU</t>
  </si>
  <si>
    <t>NGÀY</t>
  </si>
  <si>
    <t>ĐƠN GIÁ</t>
  </si>
  <si>
    <t>GIÁ CŨ</t>
  </si>
  <si>
    <t>NHÂN</t>
  </si>
  <si>
    <t>40%</t>
  </si>
  <si>
    <t>CHIA</t>
  </si>
  <si>
    <t>TĂNG 3,01 %</t>
  </si>
  <si>
    <t>TĂNG 4.68 %</t>
  </si>
  <si>
    <t>TĂNG 7.8 %</t>
  </si>
  <si>
    <t>TĂNG 12.51 %</t>
  </si>
  <si>
    <t>GIẢM 4,98 %</t>
  </si>
  <si>
    <t>MCC - KHO</t>
  </si>
  <si>
    <t>CLV - PALLET</t>
  </si>
  <si>
    <t>CLV - KHO</t>
  </si>
  <si>
    <t>NDFC - KHO</t>
  </si>
  <si>
    <t>TĂNG 10.5 %</t>
  </si>
  <si>
    <t>Từ 5km đến 9km</t>
  </si>
  <si>
    <t>Từ 10km đến 15km</t>
  </si>
  <si>
    <t>Từ 16km đến 20km</t>
  </si>
  <si>
    <t>Từ 21km đến 25km</t>
  </si>
  <si>
    <t>Từ 26km đến 30km</t>
  </si>
  <si>
    <t>Từ 31km đến 35km</t>
  </si>
  <si>
    <t>Từ 36km đến 40km</t>
  </si>
  <si>
    <t>TĂNG 7.47 %</t>
  </si>
  <si>
    <t>GIẢM 1.79 %</t>
  </si>
  <si>
    <t>GIẢM 2.59 %</t>
  </si>
  <si>
    <t>CLV - NGUYÊN CHUYẾN</t>
  </si>
  <si>
    <t>TP. Hồ Chí Minh, Bình Tân/Bình Hưng Hòa/Bình Trị Đông/An Lạc/Tân Tạo</t>
  </si>
  <si>
    <t>TP. Hồ Chí Minh, Bình Tây/Bình Tiên/Bình Phú/Phú Lâm</t>
  </si>
  <si>
    <t>TP. Hồ Chí Minh, Chánh Hưng/Phú Định/Bình Đông</t>
  </si>
  <si>
    <t>TP. Hồ Chí Minh, Củ Chi/Tân An Hội/Thái Mỹ/An Nhơn Tây/Nhuận Đức/Phú Hòa Đông/Bình Mỹ</t>
  </si>
  <si>
    <t>TP. Hồ Chí Minh, Đông Hưng Thuận/Trung Mỹ Tây/Tân Thới Hiệp/Thới An/An Phú Đông</t>
  </si>
  <si>
    <t>TP. Hồ Chí Minh, Gia Định/Bình Thạnh/Bình Lợi Trung/Thạnh Mỹ Tân/Bình Quới</t>
  </si>
  <si>
    <t>TP. Hồ Chí Minh, Hiệp Phước</t>
  </si>
  <si>
    <t>TP. Hồ Chí Minh, Hóc Môn/Xuân Thới Sơn/Bà Điểm/Đông Thạnh</t>
  </si>
  <si>
    <t>TP. Hồ Chí Minh, Tây Thạnh/Tân Sơn Nhì/Phú Thọ Hòa/Tân Phú/Phú Thạnh</t>
  </si>
  <si>
    <t>TP. Hồ Chí Minh, Xóm Chiếu/Vĩnh Hội/Khánh Hội</t>
  </si>
  <si>
    <t>Truck 0,5mt</t>
  </si>
  <si>
    <t>Truck 1,25mt</t>
  </si>
  <si>
    <t>Truck 1,5mt</t>
  </si>
  <si>
    <t>Truck 2,5mt</t>
  </si>
  <si>
    <t>Truck 15mt</t>
  </si>
  <si>
    <t>Từ 41km đến 45km</t>
  </si>
  <si>
    <t>Từ 46km đến 50km</t>
  </si>
  <si>
    <t>Từ 51km đến 65km</t>
  </si>
  <si>
    <t>3KS - PHÚ</t>
  </si>
  <si>
    <t xml:space="preserve">SER </t>
  </si>
  <si>
    <t>TĂNG 6,07 %</t>
  </si>
  <si>
    <t>TĂNG 3,88 %</t>
  </si>
  <si>
    <t>GIẢM 1.73 %</t>
  </si>
  <si>
    <t>GIẢM 9.23 %</t>
  </si>
  <si>
    <t>GIẢM 2.33 %</t>
  </si>
  <si>
    <t>GIẢM 4,11 %</t>
  </si>
  <si>
    <t>GIẢM 1,67 %</t>
  </si>
  <si>
    <t>TĂNG 2,22 %</t>
  </si>
  <si>
    <t>Các Phường/Xã khác trực thuộc TP.Hồ Chí Minh</t>
  </si>
  <si>
    <t>Các phường/ xã khác trực thuộc tỉnh An Giang</t>
  </si>
  <si>
    <t>Các phường/ xã khác trực thuộc tỉnh Cà Mau</t>
  </si>
  <si>
    <t>Các phường/ xã khác trực thuộc Thành phố Cần Thơ</t>
  </si>
  <si>
    <t>Các phường/ xã khác trực thuộc Thành phố Đà Nẵng</t>
  </si>
  <si>
    <t>Các phường/ xã khác trực thuộc tỉnh Đắk Lắk</t>
  </si>
  <si>
    <t>Các phường/ xã khác trực thuộc Thành phố TP, Hồ Chí Minh</t>
  </si>
  <si>
    <t>Các phường/ xã khác trực thuộc Thành phố TP, Hồ Chí Minh (Đường nhỏ)</t>
  </si>
  <si>
    <t>Các phường/ xã khác trực thuộc Thành phố Huế</t>
  </si>
  <si>
    <t>Các phường/ xã khác trực thuộc tỉnh Khánh Hòa</t>
  </si>
  <si>
    <t>Các phường/ xã khác trực thuộc tỉnh Quảng Ngãi</t>
  </si>
  <si>
    <t>Các phường/ xã khác trực thuộc tỉnh Quảng Trị</t>
  </si>
  <si>
    <t>Các phường/ xã khác trực thuộc tỉnh Tây Ninh</t>
  </si>
  <si>
    <t>Các phường/ xã khác trực thuộc tỉnh Vĩnh Long</t>
  </si>
  <si>
    <t>MCC GHÉP ND</t>
  </si>
  <si>
    <t>Tuyến vận chuyển từ Tây Ninh - Cần Giuộc đến</t>
  </si>
  <si>
    <t xml:space="preserve">TP. Hồ Chí Minh - Hiệp Phước &amp; ngược lại </t>
  </si>
  <si>
    <t>MCC DÍNH KÈM</t>
  </si>
  <si>
    <t>Các Phường/Xã khác trực thuộc TP. Hồ Chí Minh</t>
  </si>
  <si>
    <t>Các Phường/Xã khác trực thuộc TP Đà Nẵng</t>
  </si>
  <si>
    <t>Các Phường/Xã khác trực thuộc tỉnh Đăk Lăk</t>
  </si>
  <si>
    <t>Các Phường/Xã khác trực thuộc Thành Phố Huế</t>
  </si>
  <si>
    <t>Các Phường/Xã khác trực thuộc Thành Phố Hồ Chí Minh</t>
  </si>
  <si>
    <t>Các Phường/Xã khác trực thuộc HCM (Đường nhỏ)</t>
  </si>
  <si>
    <t>Tuyến mới: 18/6</t>
  </si>
  <si>
    <t>GIẢM 6,59 %</t>
  </si>
  <si>
    <t>GIẢM 2,84 %</t>
  </si>
  <si>
    <t>TĂNG 7,14 %</t>
  </si>
  <si>
    <t>TĂNG 2,89 %</t>
  </si>
  <si>
    <t>&gt;2,5-8 tấn (Cước tính min 5 tấn)</t>
  </si>
  <si>
    <t>Ngày hiệu lực</t>
  </si>
  <si>
    <t>Tăng/giảm</t>
  </si>
  <si>
    <t>Tuyến cũ</t>
  </si>
  <si>
    <t>01/01/2026</t>
  </si>
  <si>
    <t>giá dầu 17,250</t>
  </si>
  <si>
    <t>01/03/2026</t>
  </si>
  <si>
    <t>giá dầu 19,270</t>
  </si>
  <si>
    <t>06/03/2026</t>
  </si>
  <si>
    <t>giá dầu 23,030</t>
  </si>
  <si>
    <t>08/03/2026</t>
  </si>
  <si>
    <t>giá dầu 30,230</t>
  </si>
  <si>
    <t>12/03/2026</t>
  </si>
  <si>
    <t>giá dầu 26,470</t>
  </si>
  <si>
    <t>20/03/2026</t>
  </si>
  <si>
    <t>giá dầu 33,420</t>
  </si>
  <si>
    <t>25/03/2026</t>
  </si>
  <si>
    <t>giá dầu 39,660</t>
  </si>
  <si>
    <t>26/03/2026</t>
  </si>
  <si>
    <t>giá dầu 37,890</t>
  </si>
  <si>
    <t>27/03/2026</t>
  </si>
  <si>
    <t>giá dầu 35,440</t>
  </si>
  <si>
    <t>03/04/2026</t>
  </si>
  <si>
    <t>giá dầu 40,820</t>
  </si>
  <si>
    <t>04/04/2026</t>
  </si>
  <si>
    <t>giá dầu 44,780</t>
  </si>
  <si>
    <t>09/04/2026</t>
  </si>
  <si>
    <t>giá dầu 42,840</t>
  </si>
  <si>
    <t>10/04/2026</t>
  </si>
  <si>
    <t>giá dầu 32,960</t>
  </si>
  <si>
    <t>16/04/2026</t>
  </si>
  <si>
    <t>giá dầu 31,040</t>
  </si>
  <si>
    <t>22/04/2026</t>
  </si>
  <si>
    <t>giá dầu 27,850</t>
  </si>
  <si>
    <t>24/04/2026</t>
  </si>
  <si>
    <t>giá dầu 26,690</t>
  </si>
  <si>
    <t>30/04/2026</t>
  </si>
  <si>
    <t>giá dầu 28,170</t>
  </si>
  <si>
    <t>19/06/2026</t>
  </si>
  <si>
    <t>giá dầu 23,530</t>
  </si>
  <si>
    <t>01/07/2026</t>
  </si>
  <si>
    <t>giá dầu 21,860</t>
  </si>
  <si>
    <t>24/07/2026</t>
  </si>
  <si>
    <t>giá dầu 25,760</t>
  </si>
  <si>
    <t>01/08/2026</t>
  </si>
  <si>
    <t>giá dầu 27,620</t>
  </si>
  <si>
    <t>Tỉnh</t>
  </si>
  <si>
    <t>Phường</t>
  </si>
  <si>
    <t/>
  </si>
  <si>
    <t>Đặc Khu Phú Quốc</t>
  </si>
  <si>
    <t>Rạch Giá, Châu Thành, Thạnh Lộc</t>
  </si>
  <si>
    <t>Bạc Liêu, Giá Rai</t>
  </si>
  <si>
    <t>Ô Môn, Phước Thới</t>
  </si>
  <si>
    <t>Phú Lợi, An Ninh</t>
  </si>
  <si>
    <t>Thốt Nốt, Thuận Hưng, Trung Nhứt</t>
  </si>
  <si>
    <t>Vị Tân, Châu Thành, Tân Hòa, Thạnh Hòa, Thạnh Xuân</t>
  </si>
  <si>
    <t>An Thắng, Điện Bàn Bắc, Điện Bàn Đông, Tam Kỳ</t>
  </si>
  <si>
    <t>Hòa Hiệp, Tuy Hòa, Bình Kiến</t>
  </si>
  <si>
    <t>Bảo Vinh, Bình Lộc, Hàng Gòn, Hố Nai, Bình Minh, Hưng Thịnh, Trảng Bom</t>
  </si>
  <si>
    <t>Bình Long, Bình Phước, Phước Bình, Đồng Phú, Lộc Ninh</t>
  </si>
  <si>
    <t>La Ngà, Tân Phú, Xuân Lộc, Xuân Phú</t>
  </si>
  <si>
    <t>Long Bình, Long Hưng, Tam Hiệp, Tam Phước, Tân Triều, Trấn Biên, Trảng Dài, An Phước, Bình An, Long Thành, Nhơn Trạch</t>
  </si>
  <si>
    <t>An Bình, Thường Lạc</t>
  </si>
  <si>
    <t>Cai Lậy , Sơn Qui, Hội Cư, Ngũ Hiệp</t>
  </si>
  <si>
    <t>Cao Lãnh, Lấp Vò, Thanh Bình</t>
  </si>
  <si>
    <t>Đạo Thạnh, Mỹ Phong, Mỹ Tho, Trung An, Tân Phước 3</t>
  </si>
  <si>
    <t>Sa Đéc, Tân Nhuận Đông</t>
  </si>
  <si>
    <t>Bình Định, Quy Nhơn, Quy Nhơn Đông, Quy Nhơn Nam, Quy Nhơn Tây</t>
  </si>
  <si>
    <t>Bồng Sơn, An Nhơn Nam, An Nhơn Tây</t>
  </si>
  <si>
    <t>Diên Hồng, Hội Phú, Pleiku</t>
  </si>
  <si>
    <t>An Phú, Bình Dương, Bình Hòa, Chánh Hiệp, Dĩ An, Đông Hòa, Lái Thiêu, Phú An, Phú Lợi, Tân Đông Hiệp, Thủ Dầu Một, Thuận An, Thuận Giao</t>
  </si>
  <si>
    <t>Bà Rịa, Phú Mỹ, Tân Phước , Châu Pha , Hồ Tràm , Long Điền, Ngãi Giao</t>
  </si>
  <si>
    <t>Wincom Bình dương</t>
  </si>
  <si>
    <t>Bình Mỹ, Củ Chi , Nhuận Đức, Tân An Hội, Thái Mỹ , Phú Hòa Đông</t>
  </si>
  <si>
    <t>Phước Thắng, Tam Thắng</t>
  </si>
  <si>
    <t>Bắc Cam Ranh, Cam Linh</t>
  </si>
  <si>
    <t>Đông Hải, Phan Rang</t>
  </si>
  <si>
    <t>Bảo Lộc , B'Lao</t>
  </si>
  <si>
    <t>Hàm Thắng, Phú Thủy, Tuyên Quang, Lương Sơn</t>
  </si>
  <si>
    <t>Đăk Cấm, Kon Tum, Bờ Y</t>
  </si>
  <si>
    <t>An Tịnh, Gò Dầu, Hòa Thành, Long Hoa, Thanh Điền, Trảng Bàng, Tân Ninh</t>
  </si>
  <si>
    <t>Khánh Hậu, Long An, Tân An, Bến Lức, Bình Đức, Đức Hòa, Đức Lập, Hậu Nghĩa, Hòa Khánh, Long Cang, Mỹ Hạnh, Mỹ Yên, Rạch Kiến , Tân Lân</t>
  </si>
  <si>
    <t>Long Đức, Nguyệt Hóa , Trà Vinh</t>
  </si>
  <si>
    <t>Phú Khương, Phú Tân, Sơn Đông, Phú Túc</t>
  </si>
  <si>
    <t>Note</t>
  </si>
  <si>
    <t>Hồ Chí Minh</t>
  </si>
  <si>
    <t>Địa điểm</t>
  </si>
  <si>
    <t>Áp dụng cho 1 xe vận chuyển từ 1 đến 12 chuyến</t>
  </si>
  <si>
    <t>Áp dụng chuyến thứ 13 trở lên</t>
  </si>
  <si>
    <t>Áp dụng 1-3 chuyến/ xe/ ngày</t>
  </si>
  <si>
    <t>Áp dụng &gt; 3 chuyến/ xe/ ngày</t>
  </si>
  <si>
    <t>Xe chuyên dụng giao hàng bằng IBC tank, bao gồm cả phí thu hồi IBC tank</t>
  </si>
  <si>
    <t>KCN Hiệp Phước - Kho AJ Long Hậu</t>
  </si>
  <si>
    <t>KCN Hiệp Phước - Các kho của nhà máy &amp; ngược lại</t>
  </si>
  <si>
    <t>KCN Hiệp Phước - Unidepot &amp; ngược lại</t>
  </si>
  <si>
    <t>Chuyến</t>
  </si>
  <si>
    <t> Phú Túc,Ayun Pa,Chư Sê</t>
  </si>
  <si>
    <t>Bàu Bàng, Long Hòa, Phước Hòa</t>
  </si>
  <si>
    <t>Bến Cát, Hòa Lợi, Long Nguyên, Tân Hiệp, Tân Khánh, Tân Uyên, Tây Nam, Thới Hòa, Vĩnh Tân, Bắc Tân Uyên</t>
  </si>
  <si>
    <t>Đức Trọng, Hiệp Thạnh</t>
  </si>
  <si>
    <t>Lâm Viên - Đà Lạt, Xuân Hương - Đà Lạt, Đơn Dương</t>
  </si>
  <si>
    <t>Bạc Liêu/ Giá Rai</t>
  </si>
  <si>
    <t>Phú Khương/ Phú Tân/ Sơn Đông/ Phú Túc</t>
  </si>
  <si>
    <t>Bồng Sơn/ An Nhơn Nam/ An Nhơn Tây</t>
  </si>
  <si>
    <t>Bình Định/ Quy Nhơn/ Quy Nhơn Đông/ Quy Nhơn Nam/ Quy Nhơn Tây</t>
  </si>
  <si>
    <t>Bàu Bàng/ Long Hòa/ Phước Hòa</t>
  </si>
  <si>
    <t>An Phú/ Bình Dương/ Bình Hòa/ Chánh Hiệp/ Dĩ An/ Đông Hòa/ Lái Thiêu/ Phú An/ Phú Lợi/ Tân Đông Hiệp/ Thủ Dầu Một/ Thuận An/ Thuận Giao</t>
  </si>
  <si>
    <t>Bình Long/ Bình Phước/ Phước Bình/ Đồng Phú/ Lộc Ninh</t>
  </si>
  <si>
    <t>Hàm Thắng/ Phú Thủy/ Tuyên Quang/ Lương Sơn</t>
  </si>
  <si>
    <t>Ô Môn/ Phước Thới</t>
  </si>
  <si>
    <t>Thốt Nốt/ Thuận Hưng/ Trung Nhứt</t>
  </si>
  <si>
    <t>Long Bình/ Long Hưng/ Tam Hiệp/ Tam Phước/ Tân Triều/ Trấn Biên/ Trảng Dài/ An Phước/ Bình An/ Long Thành/ Nhơn Trạch</t>
  </si>
  <si>
    <t>La Ngà/ Tân Phú/ Xuân Lộc/ Xuân Phú</t>
  </si>
  <si>
    <t>Bảo Vinh/ Bình Lộc/ Hàng Gòn/ Hố Nai/ Bình Minh/ Hưng Thịnh/ Trảng Bom</t>
  </si>
  <si>
    <t>Cao Lãnh/ Lấp Vò/ Thanh Bình</t>
  </si>
  <si>
    <t>An Bình/ Thường Lạc</t>
  </si>
  <si>
    <t>Sa Đéc/ Tân Nhuận Đông</t>
  </si>
  <si>
    <t>Diên Hồng/ Hội Phú/ Pleiku</t>
  </si>
  <si>
    <t>Vị Tân/ Châu Thành/ Tân Hòa/ Thạnh Hòa/ Thạnh Xuân</t>
  </si>
  <si>
    <t>Bình Mỹ/ Củ Chi / Nhuận Đức/ Tân An Hội/ Thái Mỹ / Phú Hòa Đông</t>
  </si>
  <si>
    <t>Bắc Cam Ranh/ Cam Linh</t>
  </si>
  <si>
    <t>Rạch Giá/ Châu Thành/ Thạnh Lộc</t>
  </si>
  <si>
    <t>Đăk Cấm/ Kon Tum/ Bờ Y</t>
  </si>
  <si>
    <t>Bảo Lộc / B'Lao</t>
  </si>
  <si>
    <t>Khánh Hậu/ Long An/ Tân An/ Bến Lức/ Bình Đức/ Đức Hòa/ Đức Lập/ Hậu Nghĩa/ Hòa Khánh/ Long Cang/ Mỹ Hạnh/ Mỹ Yên/ Rạch Kiến/ Tân Lân</t>
  </si>
  <si>
    <t>NPP Mộc Hóa</t>
  </si>
  <si>
    <t>Đông Hải/ Phan Rang</t>
  </si>
  <si>
    <t>Hòa Hiệp/ Tuy Hòa/ Bình Kiến</t>
  </si>
  <si>
    <t>An Thắng/ Điện Bàn Bắc/ Điện Bàn Đông/ Tam Kỳ</t>
  </si>
  <si>
    <t>Phú Lợi/ An Ninh</t>
  </si>
  <si>
    <t>An Tịnh/ Gò Dầu/ Hòa Thành/ Long Hoa/ Thanh Điền/ Trảng Bàng/ Tân Ninh</t>
  </si>
  <si>
    <t>Cai Lậy / Sơn Qui/ Hội Cư/ Ngũ Hiệp</t>
  </si>
  <si>
    <t>Đạo Thạnh/ Mỹ Phong/ Mỹ Tho/ Trung An/ Tân Phước 3</t>
  </si>
  <si>
    <t>Long Đức/ Nguyệt Hóa/ Trà Vinh</t>
  </si>
  <si>
    <t>Phước Thắng/ Tam Thắng</t>
  </si>
  <si>
    <t>Bà Rịa/ Phú Mỹ/ Tân Phước / Châu Pha / Hồ Tràm / Long Điền/ Ngãi Giao</t>
  </si>
  <si>
    <t>Bến Cát/ Hòa Lợi/ Long Nguyên/ Tân Hiệp/ Tân Khánh/ Tân Uyên/ Tây Nam/ Thới Hòa/ Vĩnh Tân/ Bắc Tân Uyên</t>
  </si>
  <si>
    <t>Bến Cát/ Hòa Lợi/Long Nguyên/ Tân Hiệp/ Tân Khánh/ Tân Uyên/ Tây Nam/ Thới Hòa/ Vĩnh Tân/ Bắc Tân Uyên</t>
  </si>
  <si>
    <t>Phú Túc/ Ayun Pa/ Chư Sê</t>
  </si>
  <si>
    <t>Lâm Viên - Đà Lạt/ Xuân Hương - Đà Lạt/ Đơn Dương</t>
  </si>
  <si>
    <t>Đức Trọng/ Hiệp Thạnh</t>
  </si>
  <si>
    <t>Khánh Hậu/ Long An/ Tân An/ Bến Lức/ Bình Đức/ Đức Hòa/ Đức Lập/ Hậu Nghĩa/ Hòa Khánh/ Long Cang/ Mỹ Hạnh/ Mỹ Yên/ Rạch Kiến / Tân Lân</t>
  </si>
  <si>
    <t>Long Đức/ Nguyệt Hóa / Trà Vinh</t>
  </si>
  <si>
    <t>Tổng</t>
  </si>
  <si>
    <t>HCM - Bàu Bàng/ Long Hòa/ Phước Hòa</t>
  </si>
  <si>
    <t> Phú Túc/Ayun Pa/Chư Sê</t>
  </si>
  <si>
    <t>Quãng Ngãi</t>
  </si>
  <si>
    <t>Áp dụng</t>
  </si>
  <si>
    <t>Áp dụng 1-2 chuyến/ xe/ ngày</t>
  </si>
  <si>
    <t>Áp dụng 3-5 chuyến/ xe/ ngày</t>
  </si>
  <si>
    <t>Áp dụng từ 6 chuyến/ xe/ ngày</t>
  </si>
  <si>
    <t>Trung chuyển Unidepot &amp; ngược lại - chuyển đối lưu (đi hoặc về) áp dụng 70% đơn giá</t>
  </si>
  <si>
    <t>Ayun Pa</t>
  </si>
  <si>
    <t>Skip</t>
  </si>
  <si>
    <t>Skip - Giống Lâm Đồng - Hiệp Thạnh</t>
  </si>
  <si>
    <t>Skip - Giống Hồ Chí Minh - Hòa Lợi</t>
  </si>
  <si>
    <t>Skip - Giống Hồ Chí Minh - Long Nguyên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</si>
</sst>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#,##0;[Red]#,##0"/>
    <numFmt numFmtId="165" formatCode="_(* #,##0_);_(* \(#,##0\);_(* &quot;-&quot;??_);_(@_)"/>
    <numFmt numFmtId="166" formatCode="_-* #,##0_-;\-* #,##0_-;_-* &quot;-&quot;??_-;_-@_-"/>
    <numFmt numFmtId="167" formatCode="_-* #,##0\ _₫_-;\-* #,##0\ _₫_-;_-* &quot;-&quot;??\ _₫_-;_-@_-"/>
    <numFmt numFmtId="168" formatCode="_-* #,##0.000000\ _₫_-;\-* #,##0.000000\ _₫_-;_-* &quot;-&quot;??\ _₫_-;_-@_-"/>
    <numFmt numFmtId="169" formatCode="_-* #,##0.0000\ _₫_-;\-* #,##0.0000\ _₫_-;_-* &quot;-&quot;??\ _₫_-;_-@_-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FF0000"/>
      <name val="Times New Roman"/>
      <family val="1"/>
    </font>
    <font>
      <sz val="12"/>
      <name val="Times New Roman"/>
      <family val="1"/>
    </font>
    <font>
      <sz val="12"/>
      <color rgb="FFED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14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164" fontId="1" fillId="0" borderId="2" xfId="0" applyNumberFormat="1" applyFont="1" applyBorder="1" applyAlignment="1">
      <alignment horizontal="right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164" fontId="1" fillId="0" borderId="3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horizontal="right" vertical="center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right" vertical="center"/>
    </xf>
    <xf numFmtId="0" fontId="1" fillId="0" borderId="3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/>
    </xf>
    <xf numFmtId="164" fontId="1" fillId="0" borderId="10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left" vertical="center" wrapText="1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14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vertical="center"/>
    </xf>
    <xf numFmtId="165" fontId="4" fillId="0" borderId="1" xfId="0" applyNumberFormat="1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3" fontId="0" fillId="0" borderId="0" xfId="0" applyNumberFormat="1"/>
    <xf numFmtId="14" fontId="2" fillId="3" borderId="5" xfId="0" quotePrefix="1" applyNumberFormat="1" applyFont="1" applyFill="1" applyBorder="1" applyAlignment="1">
      <alignment horizontal="center" vertical="center"/>
    </xf>
    <xf numFmtId="14" fontId="2" fillId="3" borderId="7" xfId="0" quotePrefix="1" applyNumberFormat="1" applyFont="1" applyFill="1" applyBorder="1" applyAlignment="1">
      <alignment horizontal="center" vertical="center" wrapText="1"/>
    </xf>
    <xf numFmtId="164" fontId="7" fillId="0" borderId="3" xfId="0" applyNumberFormat="1" applyFont="1" applyBorder="1" applyAlignment="1">
      <alignment horizontal="right" vertical="center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164" fontId="7" fillId="0" borderId="4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8" fillId="0" borderId="3" xfId="0" applyFont="1" applyBorder="1" applyAlignment="1">
      <alignment horizontal="left" vertical="center" wrapText="1"/>
    </xf>
    <xf numFmtId="164" fontId="8" fillId="0" borderId="3" xfId="0" applyNumberFormat="1" applyFont="1" applyBorder="1" applyAlignment="1">
      <alignment horizontal="right" vertical="center"/>
    </xf>
    <xf numFmtId="0" fontId="9" fillId="0" borderId="3" xfId="0" applyFont="1" applyBorder="1" applyAlignment="1">
      <alignment horizontal="left" vertical="center" wrapText="1"/>
    </xf>
    <xf numFmtId="167" fontId="1" fillId="0" borderId="0" xfId="0" applyNumberFormat="1" applyFont="1" applyAlignment="1">
      <alignment vertical="center"/>
    </xf>
    <xf numFmtId="0" fontId="1" fillId="0" borderId="10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41" fontId="1" fillId="0" borderId="2" xfId="0" applyNumberFormat="1" applyFont="1" applyBorder="1" applyAlignment="1">
      <alignment horizontal="right" vertical="center"/>
    </xf>
    <xf numFmtId="41" fontId="1" fillId="0" borderId="3" xfId="0" applyNumberFormat="1" applyFont="1" applyBorder="1" applyAlignment="1">
      <alignment horizontal="right" vertical="center"/>
    </xf>
    <xf numFmtId="41" fontId="8" fillId="0" borderId="3" xfId="0" applyNumberFormat="1" applyFont="1" applyBorder="1" applyAlignment="1">
      <alignment horizontal="right" vertical="center"/>
    </xf>
    <xf numFmtId="41" fontId="1" fillId="0" borderId="10" xfId="0" applyNumberFormat="1" applyFont="1" applyBorder="1" applyAlignment="1">
      <alignment horizontal="right" vertical="center"/>
    </xf>
    <xf numFmtId="41" fontId="1" fillId="0" borderId="4" xfId="0" applyNumberFormat="1" applyFont="1" applyBorder="1" applyAlignment="1">
      <alignment horizontal="right" vertical="center"/>
    </xf>
    <xf numFmtId="165" fontId="1" fillId="0" borderId="2" xfId="0" applyNumberFormat="1" applyFont="1" applyBorder="1" applyAlignment="1">
      <alignment horizontal="right" vertical="center"/>
    </xf>
    <xf numFmtId="165" fontId="1" fillId="0" borderId="3" xfId="0" applyNumberFormat="1" applyFont="1" applyBorder="1" applyAlignment="1">
      <alignment horizontal="right" vertical="center"/>
    </xf>
    <xf numFmtId="165" fontId="1" fillId="2" borderId="3" xfId="0" applyNumberFormat="1" applyFont="1" applyFill="1" applyBorder="1" applyAlignment="1">
      <alignment horizontal="right" vertical="center"/>
    </xf>
    <xf numFmtId="165" fontId="1" fillId="0" borderId="4" xfId="0" applyNumberFormat="1" applyFont="1" applyBorder="1" applyAlignment="1">
      <alignment horizontal="right" vertical="center"/>
    </xf>
    <xf numFmtId="0" fontId="0" fillId="0" borderId="20" xfId="0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/>
    <xf numFmtId="14" fontId="0" fillId="0" borderId="1" xfId="0" applyNumberFormat="1" applyBorder="1"/>
    <xf numFmtId="167" fontId="0" fillId="0" borderId="1" xfId="1" applyNumberFormat="1" applyFont="1" applyBorder="1"/>
    <xf numFmtId="0" fontId="0" fillId="0" borderId="1" xfId="0" applyBorder="1"/>
    <xf numFmtId="0" fontId="0" fillId="0" borderId="24" xfId="0" applyBorder="1"/>
    <xf numFmtId="167" fontId="0" fillId="0" borderId="25" xfId="1" applyNumberFormat="1" applyFont="1" applyBorder="1"/>
    <xf numFmtId="167" fontId="0" fillId="0" borderId="6" xfId="1" applyNumberFormat="1" applyFont="1" applyBorder="1"/>
    <xf numFmtId="49" fontId="0" fillId="0" borderId="25" xfId="1" applyNumberFormat="1" applyFont="1" applyBorder="1" applyAlignment="1">
      <alignment horizontal="center"/>
    </xf>
    <xf numFmtId="2" fontId="0" fillId="0" borderId="6" xfId="0" applyNumberFormat="1" applyBorder="1"/>
    <xf numFmtId="168" fontId="0" fillId="0" borderId="6" xfId="0" applyNumberFormat="1" applyBorder="1"/>
    <xf numFmtId="0" fontId="12" fillId="0" borderId="1" xfId="0" applyFont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169" fontId="0" fillId="0" borderId="6" xfId="0" applyNumberFormat="1" applyBorder="1"/>
    <xf numFmtId="164" fontId="1" fillId="0" borderId="0" xfId="0" applyNumberFormat="1" applyFont="1" applyAlignment="1">
      <alignment horizontal="right" vertical="center"/>
    </xf>
    <xf numFmtId="0" fontId="8" fillId="0" borderId="3" xfId="0" applyFont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1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8" fillId="0" borderId="4" xfId="0" applyFont="1" applyBorder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49" fontId="1" fillId="0" borderId="3" xfId="0" applyNumberFormat="1" applyFont="1" applyBorder="1" applyAlignment="1">
      <alignment horizontal="left" vertical="center"/>
    </xf>
    <xf numFmtId="49" fontId="1" fillId="0" borderId="4" xfId="0" applyNumberFormat="1" applyFont="1" applyBorder="1" applyAlignment="1">
      <alignment horizontal="left" vertical="center"/>
    </xf>
    <xf numFmtId="164" fontId="0" fillId="0" borderId="0" xfId="0" applyNumberFormat="1"/>
    <xf numFmtId="2" fontId="1" fillId="0" borderId="0" xfId="0" applyNumberFormat="1" applyFont="1" applyAlignment="1">
      <alignment vertical="center"/>
    </xf>
    <xf numFmtId="2" fontId="2" fillId="0" borderId="1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left" vertical="top"/>
    </xf>
    <xf numFmtId="2" fontId="2" fillId="0" borderId="1" xfId="0" applyNumberFormat="1" applyFont="1" applyBorder="1" applyAlignment="1">
      <alignment horizontal="left" vertical="top"/>
    </xf>
    <xf numFmtId="2" fontId="1" fillId="0" borderId="2" xfId="0" applyNumberFormat="1" applyFont="1" applyBorder="1" applyAlignment="1">
      <alignment horizontal="left" vertical="top"/>
    </xf>
    <xf numFmtId="2" fontId="1" fillId="0" borderId="3" xfId="0" applyNumberFormat="1" applyFont="1" applyBorder="1" applyAlignment="1">
      <alignment horizontal="left" vertical="top"/>
    </xf>
    <xf numFmtId="2" fontId="1" fillId="2" borderId="0" xfId="0" applyNumberFormat="1" applyFont="1" applyFill="1" applyAlignment="1">
      <alignment horizontal="left" vertical="top"/>
    </xf>
    <xf numFmtId="2" fontId="1" fillId="0" borderId="4" xfId="0" applyNumberFormat="1" applyFont="1" applyBorder="1" applyAlignment="1">
      <alignment horizontal="left" vertical="top"/>
    </xf>
    <xf numFmtId="0" fontId="7" fillId="0" borderId="3" xfId="0" applyFont="1" applyBorder="1" applyAlignment="1">
      <alignment horizontal="center" vertical="center"/>
    </xf>
    <xf numFmtId="2" fontId="1" fillId="2" borderId="3" xfId="0" applyNumberFormat="1" applyFont="1" applyFill="1" applyBorder="1" applyAlignment="1">
      <alignment horizontal="left" vertical="top"/>
    </xf>
    <xf numFmtId="164" fontId="1" fillId="0" borderId="6" xfId="0" applyNumberFormat="1" applyFont="1" applyBorder="1" applyAlignment="1">
      <alignment horizontal="right" vertical="center"/>
    </xf>
    <xf numFmtId="0" fontId="1" fillId="0" borderId="3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1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3" borderId="16" xfId="0" quotePrefix="1" applyFont="1" applyFill="1" applyBorder="1" applyAlignment="1">
      <alignment horizontal="center" vertical="center"/>
    </xf>
    <xf numFmtId="0" fontId="2" fillId="3" borderId="0" xfId="0" quotePrefix="1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7" xfId="0" quotePrefix="1" applyFont="1" applyFill="1" applyBorder="1" applyAlignment="1">
      <alignment horizontal="center" vertical="center"/>
    </xf>
    <xf numFmtId="0" fontId="3" fillId="3" borderId="8" xfId="0" quotePrefix="1" applyFont="1" applyFill="1" applyBorder="1" applyAlignment="1">
      <alignment horizontal="center" vertical="center"/>
    </xf>
    <xf numFmtId="0" fontId="3" fillId="3" borderId="9" xfId="0" quotePrefix="1" applyFont="1" applyFill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2" fillId="3" borderId="7" xfId="0" quotePrefix="1" applyFont="1" applyFill="1" applyBorder="1" applyAlignment="1">
      <alignment horizontal="center" vertical="center"/>
    </xf>
    <xf numFmtId="0" fontId="2" fillId="3" borderId="8" xfId="0" quotePrefix="1" applyFont="1" applyFill="1" applyBorder="1" applyAlignment="1">
      <alignment horizontal="center" vertical="center"/>
    </xf>
    <xf numFmtId="0" fontId="2" fillId="3" borderId="9" xfId="0" quotePrefix="1" applyFont="1" applyFill="1" applyBorder="1" applyAlignment="1">
      <alignment horizontal="center" vertical="center"/>
    </xf>
    <xf numFmtId="14" fontId="2" fillId="3" borderId="7" xfId="0" quotePrefix="1" applyNumberFormat="1" applyFont="1" applyFill="1" applyBorder="1" applyAlignment="1">
      <alignment horizontal="center" vertical="center" wrapText="1"/>
    </xf>
    <xf numFmtId="14" fontId="2" fillId="3" borderId="8" xfId="0" quotePrefix="1" applyNumberFormat="1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2" borderId="7" xfId="0" quotePrefix="1" applyFont="1" applyFill="1" applyBorder="1" applyAlignment="1">
      <alignment horizontal="center" vertical="center"/>
    </xf>
    <xf numFmtId="0" fontId="2" fillId="2" borderId="8" xfId="0" quotePrefix="1" applyFont="1" applyFill="1" applyBorder="1" applyAlignment="1">
      <alignment horizontal="center" vertical="center"/>
    </xf>
    <xf numFmtId="0" fontId="2" fillId="2" borderId="9" xfId="0" quotePrefix="1" applyFont="1" applyFill="1" applyBorder="1" applyAlignment="1">
      <alignment horizontal="center" vertical="center"/>
    </xf>
    <xf numFmtId="3" fontId="5" fillId="2" borderId="11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2" fillId="3" borderId="0" xfId="0" quotePrefix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 wrapText="1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</cellXfs>
  <cellStyles count="3">
    <cellStyle name="Comma" xfId="1" builtinId="3"/>
    <cellStyle name="Comma 8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G257"/>
  <sheetViews>
    <sheetView topLeftCell="A223" workbookViewId="0">
      <selection activeCell="I251" sqref="I251"/>
    </sheetView>
  </sheetViews>
  <sheetFormatPr defaultRowHeight="15" x14ac:dyDescent="0.25"/>
  <cols>
    <col min="2" max="2" width="11.85546875" bestFit="1" customWidth="1"/>
    <col min="3" max="3" width="13.28515625" bestFit="1" customWidth="1"/>
    <col min="4" max="4" width="12.140625" bestFit="1" customWidth="1"/>
    <col min="10" max="10" width="11.85546875" bestFit="1" customWidth="1"/>
    <col min="11" max="11" width="10.140625" bestFit="1" customWidth="1"/>
    <col min="18" max="18" width="11.85546875" bestFit="1" customWidth="1"/>
    <col min="19" max="19" width="10.140625" bestFit="1" customWidth="1"/>
  </cols>
  <sheetData>
    <row r="1" spans="1:7" ht="15.75" thickBot="1" x14ac:dyDescent="0.3">
      <c r="A1" s="121" t="s">
        <v>468</v>
      </c>
      <c r="B1" s="122"/>
      <c r="C1" s="122"/>
      <c r="D1" s="122"/>
      <c r="E1" s="122"/>
      <c r="F1" s="122"/>
      <c r="G1" s="123"/>
    </row>
    <row r="2" spans="1:7" x14ac:dyDescent="0.25">
      <c r="A2" s="64"/>
      <c r="B2" s="65" t="s">
        <v>469</v>
      </c>
      <c r="C2" s="65" t="s">
        <v>470</v>
      </c>
      <c r="D2" s="65"/>
      <c r="E2" s="65"/>
      <c r="F2" s="65"/>
      <c r="G2" s="66"/>
    </row>
    <row r="3" spans="1:7" x14ac:dyDescent="0.25">
      <c r="A3" s="67" t="s">
        <v>471</v>
      </c>
      <c r="B3" s="68">
        <v>45658</v>
      </c>
      <c r="C3" s="69">
        <v>18650</v>
      </c>
      <c r="D3" s="70"/>
      <c r="E3" s="70"/>
      <c r="F3" s="70"/>
      <c r="G3" s="71"/>
    </row>
    <row r="4" spans="1:7" ht="15.75" thickBot="1" x14ac:dyDescent="0.3">
      <c r="A4" s="67" t="s">
        <v>426</v>
      </c>
      <c r="B4" s="68">
        <v>45689</v>
      </c>
      <c r="C4" s="72">
        <v>20190</v>
      </c>
      <c r="D4" s="70"/>
      <c r="E4" s="70"/>
      <c r="F4" s="70"/>
      <c r="G4" s="71"/>
    </row>
    <row r="5" spans="1:7" x14ac:dyDescent="0.25">
      <c r="A5" s="67"/>
      <c r="B5" s="68"/>
      <c r="C5" s="73">
        <f>C4-C3</f>
        <v>1540</v>
      </c>
      <c r="D5" s="70"/>
      <c r="E5" s="70"/>
      <c r="F5" s="70"/>
      <c r="G5" s="71"/>
    </row>
    <row r="6" spans="1:7" ht="15.75" thickBot="1" x14ac:dyDescent="0.3">
      <c r="A6" s="67"/>
      <c r="B6" s="70" t="s">
        <v>472</v>
      </c>
      <c r="C6" s="74" t="s">
        <v>473</v>
      </c>
      <c r="D6" s="70"/>
      <c r="E6" s="70"/>
      <c r="F6" s="70"/>
      <c r="G6" s="71"/>
    </row>
    <row r="7" spans="1:7" x14ac:dyDescent="0.25">
      <c r="A7" s="67"/>
      <c r="B7" s="70"/>
      <c r="C7" s="75">
        <f>C5*C6</f>
        <v>616</v>
      </c>
      <c r="D7" s="70"/>
      <c r="E7" s="70"/>
      <c r="F7" s="70"/>
      <c r="G7" s="71"/>
    </row>
    <row r="8" spans="1:7" ht="15.75" thickBot="1" x14ac:dyDescent="0.3">
      <c r="A8" s="67"/>
      <c r="B8" s="70" t="s">
        <v>474</v>
      </c>
      <c r="C8" s="72">
        <v>18650</v>
      </c>
      <c r="D8" s="70"/>
      <c r="E8" s="70"/>
      <c r="F8" s="70"/>
      <c r="G8" s="71"/>
    </row>
    <row r="9" spans="1:7" x14ac:dyDescent="0.25">
      <c r="A9" s="67"/>
      <c r="B9" s="70"/>
      <c r="C9" s="76">
        <f>C7/C8</f>
        <v>3.3029490616621984E-2</v>
      </c>
      <c r="D9" s="77" t="s">
        <v>475</v>
      </c>
      <c r="E9" s="70"/>
      <c r="F9" s="70"/>
      <c r="G9" s="71"/>
    </row>
    <row r="10" spans="1:7" x14ac:dyDescent="0.25">
      <c r="A10" s="67"/>
      <c r="B10" s="70"/>
      <c r="C10" s="70"/>
      <c r="D10" s="70"/>
      <c r="E10" s="70"/>
      <c r="F10" s="70"/>
      <c r="G10" s="71"/>
    </row>
    <row r="11" spans="1:7" ht="15.75" thickBot="1" x14ac:dyDescent="0.3">
      <c r="A11" s="78"/>
      <c r="B11" s="79"/>
      <c r="C11" s="79"/>
      <c r="D11" s="79"/>
      <c r="E11" s="79"/>
      <c r="F11" s="79"/>
      <c r="G11" s="80"/>
    </row>
    <row r="12" spans="1:7" ht="15.75" thickBot="1" x14ac:dyDescent="0.3"/>
    <row r="13" spans="1:7" ht="15.75" thickBot="1" x14ac:dyDescent="0.3">
      <c r="A13" s="121" t="s">
        <v>468</v>
      </c>
      <c r="B13" s="122"/>
      <c r="C13" s="122"/>
      <c r="D13" s="122"/>
      <c r="E13" s="122"/>
      <c r="F13" s="122"/>
      <c r="G13" s="123"/>
    </row>
    <row r="14" spans="1:7" x14ac:dyDescent="0.25">
      <c r="A14" s="64"/>
      <c r="B14" s="65" t="s">
        <v>469</v>
      </c>
      <c r="C14" s="65" t="s">
        <v>470</v>
      </c>
      <c r="D14" s="65"/>
      <c r="E14" s="65"/>
      <c r="F14" s="65"/>
      <c r="G14" s="66"/>
    </row>
    <row r="15" spans="1:7" x14ac:dyDescent="0.25">
      <c r="A15" s="67" t="s">
        <v>471</v>
      </c>
      <c r="B15" s="68">
        <v>46387</v>
      </c>
      <c r="C15" s="69">
        <v>17250</v>
      </c>
      <c r="D15" s="70"/>
      <c r="E15" s="70"/>
      <c r="F15" s="70"/>
      <c r="G15" s="71"/>
    </row>
    <row r="16" spans="1:7" ht="15.75" thickBot="1" x14ac:dyDescent="0.3">
      <c r="A16" s="67" t="s">
        <v>426</v>
      </c>
      <c r="B16" s="68">
        <v>46079</v>
      </c>
      <c r="C16" s="72">
        <v>19270</v>
      </c>
      <c r="D16" s="70"/>
      <c r="E16" s="70"/>
      <c r="F16" s="70"/>
      <c r="G16" s="71"/>
    </row>
    <row r="17" spans="1:7" x14ac:dyDescent="0.25">
      <c r="A17" s="67"/>
      <c r="B17" s="68"/>
      <c r="C17" s="73">
        <f>C16-C15</f>
        <v>2020</v>
      </c>
      <c r="D17" s="70"/>
      <c r="E17" s="70"/>
      <c r="F17" s="70"/>
      <c r="G17" s="71"/>
    </row>
    <row r="18" spans="1:7" ht="15.75" thickBot="1" x14ac:dyDescent="0.3">
      <c r="A18" s="67"/>
      <c r="B18" s="70" t="s">
        <v>472</v>
      </c>
      <c r="C18" s="74" t="s">
        <v>473</v>
      </c>
      <c r="D18" s="70"/>
      <c r="E18" s="70"/>
      <c r="F18" s="70"/>
      <c r="G18" s="71"/>
    </row>
    <row r="19" spans="1:7" x14ac:dyDescent="0.25">
      <c r="A19" s="67"/>
      <c r="B19" s="70"/>
      <c r="C19" s="75">
        <f>C17*C18</f>
        <v>808</v>
      </c>
      <c r="D19" s="70"/>
      <c r="E19" s="70"/>
      <c r="F19" s="70"/>
      <c r="G19" s="71"/>
    </row>
    <row r="20" spans="1:7" ht="15.75" thickBot="1" x14ac:dyDescent="0.3">
      <c r="A20" s="67"/>
      <c r="B20" s="70" t="s">
        <v>474</v>
      </c>
      <c r="C20" s="72">
        <v>17250</v>
      </c>
      <c r="D20" s="70"/>
      <c r="E20" s="70"/>
      <c r="F20" s="70"/>
      <c r="G20" s="71"/>
    </row>
    <row r="21" spans="1:7" x14ac:dyDescent="0.25">
      <c r="A21" s="67"/>
      <c r="B21" s="70"/>
      <c r="C21" s="81">
        <f>C19/C20*100</f>
        <v>4.6840579710144929</v>
      </c>
      <c r="D21" s="77" t="s">
        <v>476</v>
      </c>
      <c r="E21" s="70"/>
      <c r="F21" s="70"/>
      <c r="G21" s="71"/>
    </row>
    <row r="22" spans="1:7" x14ac:dyDescent="0.25">
      <c r="A22" s="67"/>
      <c r="B22" s="70"/>
      <c r="C22" s="70"/>
      <c r="D22" s="70"/>
      <c r="E22" s="70"/>
      <c r="F22" s="70"/>
      <c r="G22" s="71"/>
    </row>
    <row r="23" spans="1:7" ht="15.75" thickBot="1" x14ac:dyDescent="0.3">
      <c r="A23" s="78"/>
      <c r="B23" s="79"/>
      <c r="C23" s="79"/>
      <c r="D23" s="79"/>
      <c r="E23" s="79"/>
      <c r="F23" s="79"/>
      <c r="G23" s="80"/>
    </row>
    <row r="24" spans="1:7" ht="15.75" thickBot="1" x14ac:dyDescent="0.3"/>
    <row r="25" spans="1:7" ht="15.75" thickBot="1" x14ac:dyDescent="0.3">
      <c r="A25" s="121" t="s">
        <v>468</v>
      </c>
      <c r="B25" s="122"/>
      <c r="C25" s="122"/>
      <c r="D25" s="122"/>
      <c r="E25" s="122"/>
      <c r="F25" s="122"/>
      <c r="G25" s="123"/>
    </row>
    <row r="26" spans="1:7" x14ac:dyDescent="0.25">
      <c r="A26" s="64"/>
      <c r="B26" s="65" t="s">
        <v>469</v>
      </c>
      <c r="C26" s="65" t="s">
        <v>470</v>
      </c>
      <c r="D26" s="65"/>
      <c r="E26" s="65"/>
      <c r="F26" s="65"/>
      <c r="G26" s="66"/>
    </row>
    <row r="27" spans="1:7" x14ac:dyDescent="0.25">
      <c r="A27" s="67" t="s">
        <v>471</v>
      </c>
      <c r="B27" s="68">
        <v>46079</v>
      </c>
      <c r="C27" s="69">
        <v>19270</v>
      </c>
      <c r="D27" s="70"/>
      <c r="E27" s="70"/>
      <c r="F27" s="70"/>
      <c r="G27" s="71"/>
    </row>
    <row r="28" spans="1:7" ht="15.75" thickBot="1" x14ac:dyDescent="0.3">
      <c r="A28" s="67" t="s">
        <v>426</v>
      </c>
      <c r="B28" s="68">
        <v>46086</v>
      </c>
      <c r="C28" s="72">
        <v>23030</v>
      </c>
      <c r="D28" s="70"/>
      <c r="E28" s="70"/>
      <c r="F28" s="70"/>
      <c r="G28" s="71"/>
    </row>
    <row r="29" spans="1:7" x14ac:dyDescent="0.25">
      <c r="A29" s="67"/>
      <c r="B29" s="68"/>
      <c r="C29" s="73">
        <f>C28-C27</f>
        <v>3760</v>
      </c>
      <c r="D29" s="70"/>
      <c r="E29" s="70"/>
      <c r="F29" s="70"/>
      <c r="G29" s="71"/>
    </row>
    <row r="30" spans="1:7" ht="15.75" thickBot="1" x14ac:dyDescent="0.3">
      <c r="A30" s="67"/>
      <c r="B30" s="70" t="s">
        <v>472</v>
      </c>
      <c r="C30" s="74" t="s">
        <v>473</v>
      </c>
      <c r="D30" s="70"/>
      <c r="E30" s="70"/>
      <c r="F30" s="70"/>
      <c r="G30" s="71"/>
    </row>
    <row r="31" spans="1:7" x14ac:dyDescent="0.25">
      <c r="A31" s="67"/>
      <c r="B31" s="70"/>
      <c r="C31" s="75">
        <f>C29*C30</f>
        <v>1504</v>
      </c>
      <c r="D31" s="70"/>
      <c r="E31" s="70"/>
      <c r="F31" s="70"/>
      <c r="G31" s="71"/>
    </row>
    <row r="32" spans="1:7" ht="15.75" thickBot="1" x14ac:dyDescent="0.3">
      <c r="A32" s="67"/>
      <c r="B32" s="70" t="s">
        <v>474</v>
      </c>
      <c r="C32" s="72">
        <v>19270</v>
      </c>
      <c r="D32" s="70"/>
      <c r="E32" s="70"/>
      <c r="F32" s="70"/>
      <c r="G32" s="71"/>
    </row>
    <row r="33" spans="1:7" x14ac:dyDescent="0.25">
      <c r="A33" s="67"/>
      <c r="B33" s="70"/>
      <c r="C33" s="81">
        <f>C31/C32*100</f>
        <v>7.8048780487804876</v>
      </c>
      <c r="D33" s="77" t="s">
        <v>477</v>
      </c>
      <c r="E33" s="70"/>
      <c r="F33" s="70"/>
      <c r="G33" s="71"/>
    </row>
    <row r="34" spans="1:7" x14ac:dyDescent="0.25">
      <c r="A34" s="67"/>
      <c r="B34" s="70"/>
      <c r="C34" s="70"/>
      <c r="D34" s="70"/>
      <c r="E34" s="70"/>
      <c r="F34" s="70"/>
      <c r="G34" s="71"/>
    </row>
    <row r="35" spans="1:7" ht="15.75" thickBot="1" x14ac:dyDescent="0.3">
      <c r="A35" s="78"/>
      <c r="B35" s="79"/>
      <c r="C35" s="79"/>
      <c r="D35" s="79"/>
      <c r="E35" s="79"/>
      <c r="F35" s="79"/>
      <c r="G35" s="80"/>
    </row>
    <row r="36" spans="1:7" ht="15.75" thickBot="1" x14ac:dyDescent="0.3"/>
    <row r="37" spans="1:7" ht="15.75" thickBot="1" x14ac:dyDescent="0.3">
      <c r="A37" s="121" t="s">
        <v>468</v>
      </c>
      <c r="B37" s="122"/>
      <c r="C37" s="122"/>
      <c r="D37" s="122"/>
      <c r="E37" s="122"/>
      <c r="F37" s="122"/>
      <c r="G37" s="123"/>
    </row>
    <row r="38" spans="1:7" x14ac:dyDescent="0.25">
      <c r="A38" s="64"/>
      <c r="B38" s="65" t="s">
        <v>469</v>
      </c>
      <c r="C38" s="65" t="s">
        <v>470</v>
      </c>
      <c r="D38" s="65"/>
      <c r="E38" s="65"/>
      <c r="F38" s="65"/>
      <c r="G38" s="66"/>
    </row>
    <row r="39" spans="1:7" x14ac:dyDescent="0.25">
      <c r="A39" s="67" t="s">
        <v>471</v>
      </c>
      <c r="B39" s="68">
        <v>46086</v>
      </c>
      <c r="C39" s="69">
        <v>23030</v>
      </c>
      <c r="D39" s="70"/>
      <c r="E39" s="70"/>
      <c r="F39" s="70"/>
      <c r="G39" s="71"/>
    </row>
    <row r="40" spans="1:7" ht="15.75" thickBot="1" x14ac:dyDescent="0.3">
      <c r="A40" s="67" t="s">
        <v>426</v>
      </c>
      <c r="B40" s="68">
        <v>46088</v>
      </c>
      <c r="C40" s="72">
        <v>30230</v>
      </c>
      <c r="D40" s="70"/>
      <c r="E40" s="70"/>
      <c r="F40" s="70"/>
      <c r="G40" s="71"/>
    </row>
    <row r="41" spans="1:7" x14ac:dyDescent="0.25">
      <c r="A41" s="67"/>
      <c r="B41" s="68"/>
      <c r="C41" s="73">
        <f>C40-C39</f>
        <v>7200</v>
      </c>
      <c r="D41" s="70"/>
      <c r="E41" s="70"/>
      <c r="F41" s="70"/>
      <c r="G41" s="71"/>
    </row>
    <row r="42" spans="1:7" ht="15.75" thickBot="1" x14ac:dyDescent="0.3">
      <c r="A42" s="67"/>
      <c r="B42" s="70" t="s">
        <v>472</v>
      </c>
      <c r="C42" s="74" t="s">
        <v>473</v>
      </c>
      <c r="D42" s="70"/>
      <c r="E42" s="70"/>
      <c r="F42" s="70"/>
      <c r="G42" s="71"/>
    </row>
    <row r="43" spans="1:7" x14ac:dyDescent="0.25">
      <c r="A43" s="67"/>
      <c r="B43" s="70"/>
      <c r="C43" s="75">
        <f>C41*C42</f>
        <v>2880</v>
      </c>
      <c r="D43" s="70"/>
      <c r="E43" s="70"/>
      <c r="F43" s="70"/>
      <c r="G43" s="71"/>
    </row>
    <row r="44" spans="1:7" ht="15.75" thickBot="1" x14ac:dyDescent="0.3">
      <c r="A44" s="67"/>
      <c r="B44" s="70" t="s">
        <v>474</v>
      </c>
      <c r="C44" s="72">
        <v>23030</v>
      </c>
      <c r="D44" s="70"/>
      <c r="E44" s="70"/>
      <c r="F44" s="70"/>
      <c r="G44" s="71"/>
    </row>
    <row r="45" spans="1:7" x14ac:dyDescent="0.25">
      <c r="A45" s="67"/>
      <c r="B45" s="70"/>
      <c r="C45" s="81">
        <f>C43/C44*100</f>
        <v>12.505427702996091</v>
      </c>
      <c r="D45" s="77" t="s">
        <v>478</v>
      </c>
      <c r="E45" s="70"/>
      <c r="F45" s="70"/>
      <c r="G45" s="71"/>
    </row>
    <row r="46" spans="1:7" x14ac:dyDescent="0.25">
      <c r="A46" s="67"/>
      <c r="B46" s="70"/>
      <c r="C46" s="70"/>
      <c r="D46" s="70"/>
      <c r="E46" s="70"/>
      <c r="F46" s="70"/>
      <c r="G46" s="71"/>
    </row>
    <row r="47" spans="1:7" ht="15.75" thickBot="1" x14ac:dyDescent="0.3">
      <c r="A47" s="78"/>
      <c r="B47" s="79"/>
      <c r="C47" s="79"/>
      <c r="D47" s="79"/>
      <c r="E47" s="79"/>
      <c r="F47" s="79"/>
      <c r="G47" s="80"/>
    </row>
    <row r="48" spans="1:7" ht="15.75" thickBot="1" x14ac:dyDescent="0.3"/>
    <row r="49" spans="1:7" ht="15.75" thickBot="1" x14ac:dyDescent="0.3">
      <c r="A49" s="121" t="s">
        <v>468</v>
      </c>
      <c r="B49" s="122"/>
      <c r="C49" s="122"/>
      <c r="D49" s="122"/>
      <c r="E49" s="122"/>
      <c r="F49" s="122"/>
      <c r="G49" s="123"/>
    </row>
    <row r="50" spans="1:7" x14ac:dyDescent="0.25">
      <c r="A50" s="64"/>
      <c r="B50" s="65" t="s">
        <v>469</v>
      </c>
      <c r="C50" s="65" t="s">
        <v>470</v>
      </c>
      <c r="D50" s="65"/>
      <c r="E50" s="65"/>
      <c r="F50" s="65"/>
      <c r="G50" s="66"/>
    </row>
    <row r="51" spans="1:7" x14ac:dyDescent="0.25">
      <c r="A51" s="67" t="s">
        <v>471</v>
      </c>
      <c r="B51" s="68">
        <v>46088</v>
      </c>
      <c r="C51" s="69">
        <v>30230</v>
      </c>
      <c r="D51" s="70"/>
      <c r="E51" s="70"/>
      <c r="F51" s="70"/>
      <c r="G51" s="71"/>
    </row>
    <row r="52" spans="1:7" ht="15.75" thickBot="1" x14ac:dyDescent="0.3">
      <c r="A52" s="67" t="s">
        <v>426</v>
      </c>
      <c r="B52" s="68">
        <v>46093</v>
      </c>
      <c r="C52" s="72">
        <v>26470</v>
      </c>
      <c r="D52" s="70"/>
      <c r="E52" s="70"/>
      <c r="F52" s="70"/>
      <c r="G52" s="71"/>
    </row>
    <row r="53" spans="1:7" x14ac:dyDescent="0.25">
      <c r="A53" s="67"/>
      <c r="B53" s="68"/>
      <c r="C53" s="73">
        <f>C52-C51</f>
        <v>-3760</v>
      </c>
      <c r="D53" s="70"/>
      <c r="E53" s="70"/>
      <c r="F53" s="70"/>
      <c r="G53" s="71"/>
    </row>
    <row r="54" spans="1:7" ht="15.75" thickBot="1" x14ac:dyDescent="0.3">
      <c r="A54" s="67"/>
      <c r="B54" s="70" t="s">
        <v>472</v>
      </c>
      <c r="C54" s="74" t="s">
        <v>473</v>
      </c>
      <c r="D54" s="70"/>
      <c r="E54" s="70"/>
      <c r="F54" s="70"/>
      <c r="G54" s="71"/>
    </row>
    <row r="55" spans="1:7" x14ac:dyDescent="0.25">
      <c r="A55" s="67"/>
      <c r="B55" s="70"/>
      <c r="C55" s="75">
        <f>C53*C54</f>
        <v>-1504</v>
      </c>
      <c r="D55" s="70"/>
      <c r="E55" s="70"/>
      <c r="F55" s="70"/>
      <c r="G55" s="71"/>
    </row>
    <row r="56" spans="1:7" ht="15.75" thickBot="1" x14ac:dyDescent="0.3">
      <c r="A56" s="67"/>
      <c r="B56" s="70" t="s">
        <v>474</v>
      </c>
      <c r="C56" s="72">
        <f>C51</f>
        <v>30230</v>
      </c>
      <c r="D56" s="70"/>
      <c r="E56" s="70"/>
      <c r="F56" s="70"/>
      <c r="G56" s="71"/>
    </row>
    <row r="57" spans="1:7" x14ac:dyDescent="0.25">
      <c r="A57" s="67"/>
      <c r="B57" s="70"/>
      <c r="C57" s="81">
        <f>C55/C56*100</f>
        <v>-4.9751902084022488</v>
      </c>
      <c r="D57" s="77" t="s">
        <v>479</v>
      </c>
      <c r="E57" s="70"/>
      <c r="F57" s="70"/>
      <c r="G57" s="71"/>
    </row>
    <row r="58" spans="1:7" x14ac:dyDescent="0.25">
      <c r="A58" s="67"/>
      <c r="B58" s="70"/>
      <c r="C58" s="70"/>
      <c r="D58" s="70"/>
      <c r="E58" s="70"/>
      <c r="F58" s="70"/>
      <c r="G58" s="71"/>
    </row>
    <row r="59" spans="1:7" ht="15.75" thickBot="1" x14ac:dyDescent="0.3">
      <c r="A59" s="78"/>
      <c r="B59" s="79"/>
      <c r="C59" s="79"/>
      <c r="D59" s="79"/>
      <c r="E59" s="79"/>
      <c r="F59" s="79"/>
      <c r="G59" s="80"/>
    </row>
    <row r="60" spans="1:7" ht="15.75" thickBot="1" x14ac:dyDescent="0.3"/>
    <row r="61" spans="1:7" ht="15.75" thickBot="1" x14ac:dyDescent="0.3">
      <c r="A61" s="121" t="s">
        <v>468</v>
      </c>
      <c r="B61" s="122"/>
      <c r="C61" s="122"/>
      <c r="D61" s="122"/>
      <c r="E61" s="122"/>
      <c r="F61" s="122"/>
      <c r="G61" s="123"/>
    </row>
    <row r="62" spans="1:7" x14ac:dyDescent="0.25">
      <c r="A62" s="64"/>
      <c r="B62" s="65" t="s">
        <v>469</v>
      </c>
      <c r="C62" s="65" t="s">
        <v>470</v>
      </c>
      <c r="D62" s="65"/>
      <c r="E62" s="65"/>
      <c r="F62" s="65"/>
      <c r="G62" s="66"/>
    </row>
    <row r="63" spans="1:7" x14ac:dyDescent="0.25">
      <c r="A63" s="67" t="s">
        <v>471</v>
      </c>
      <c r="B63" s="68">
        <v>46093</v>
      </c>
      <c r="C63" s="69">
        <v>26470</v>
      </c>
      <c r="D63" s="70"/>
      <c r="E63" s="70"/>
      <c r="F63" s="70"/>
      <c r="G63" s="71"/>
    </row>
    <row r="64" spans="1:7" ht="15.75" thickBot="1" x14ac:dyDescent="0.3">
      <c r="A64" s="67" t="s">
        <v>426</v>
      </c>
      <c r="B64" s="68">
        <v>46101</v>
      </c>
      <c r="C64" s="72">
        <v>33420</v>
      </c>
      <c r="D64" s="70"/>
      <c r="E64" s="70"/>
      <c r="F64" s="70"/>
      <c r="G64" s="71"/>
    </row>
    <row r="65" spans="1:7" x14ac:dyDescent="0.25">
      <c r="A65" s="67"/>
      <c r="B65" s="68"/>
      <c r="C65" s="73">
        <f>C64-C63</f>
        <v>6950</v>
      </c>
      <c r="D65" s="70"/>
      <c r="E65" s="70"/>
      <c r="F65" s="70"/>
      <c r="G65" s="71"/>
    </row>
    <row r="66" spans="1:7" ht="15.75" thickBot="1" x14ac:dyDescent="0.3">
      <c r="A66" s="67"/>
      <c r="B66" s="70" t="s">
        <v>472</v>
      </c>
      <c r="C66" s="74" t="s">
        <v>473</v>
      </c>
      <c r="D66" s="70"/>
      <c r="E66" s="70"/>
      <c r="F66" s="70"/>
      <c r="G66" s="71"/>
    </row>
    <row r="67" spans="1:7" x14ac:dyDescent="0.25">
      <c r="A67" s="67"/>
      <c r="B67" s="70"/>
      <c r="C67" s="75">
        <f>C65*C66</f>
        <v>2780</v>
      </c>
      <c r="D67" s="70"/>
      <c r="E67" s="70"/>
      <c r="F67" s="70"/>
      <c r="G67" s="71"/>
    </row>
    <row r="68" spans="1:7" ht="15.75" thickBot="1" x14ac:dyDescent="0.3">
      <c r="A68" s="67"/>
      <c r="B68" s="70" t="s">
        <v>474</v>
      </c>
      <c r="C68" s="72">
        <f>C63</f>
        <v>26470</v>
      </c>
      <c r="D68" s="70"/>
      <c r="E68" s="70"/>
      <c r="F68" s="70"/>
      <c r="G68" s="71"/>
    </row>
    <row r="69" spans="1:7" x14ac:dyDescent="0.25">
      <c r="A69" s="67"/>
      <c r="B69" s="70"/>
      <c r="C69" s="81">
        <f>C67/C68*100</f>
        <v>10.50245561012467</v>
      </c>
      <c r="D69" s="77" t="s">
        <v>484</v>
      </c>
      <c r="E69" s="70"/>
      <c r="F69" s="70"/>
      <c r="G69" s="71"/>
    </row>
    <row r="70" spans="1:7" x14ac:dyDescent="0.25">
      <c r="A70" s="67"/>
      <c r="B70" s="70"/>
      <c r="C70" s="70"/>
      <c r="D70" s="70"/>
      <c r="E70" s="70"/>
      <c r="F70" s="70"/>
      <c r="G70" s="71"/>
    </row>
    <row r="71" spans="1:7" ht="15.75" thickBot="1" x14ac:dyDescent="0.3">
      <c r="A71" s="78"/>
      <c r="B71" s="79"/>
      <c r="C71" s="79"/>
      <c r="D71" s="79"/>
      <c r="E71" s="79"/>
      <c r="F71" s="79"/>
      <c r="G71" s="80"/>
    </row>
    <row r="72" spans="1:7" ht="15.75" thickBot="1" x14ac:dyDescent="0.3"/>
    <row r="73" spans="1:7" ht="15.75" thickBot="1" x14ac:dyDescent="0.3">
      <c r="A73" s="121" t="s">
        <v>468</v>
      </c>
      <c r="B73" s="122"/>
      <c r="C73" s="122"/>
      <c r="D73" s="122"/>
      <c r="E73" s="122"/>
      <c r="F73" s="122"/>
      <c r="G73" s="123"/>
    </row>
    <row r="74" spans="1:7" x14ac:dyDescent="0.25">
      <c r="A74" s="64"/>
      <c r="B74" s="65" t="s">
        <v>469</v>
      </c>
      <c r="C74" s="65" t="s">
        <v>470</v>
      </c>
      <c r="D74" s="65"/>
      <c r="E74" s="65"/>
      <c r="F74" s="65"/>
      <c r="G74" s="66"/>
    </row>
    <row r="75" spans="1:7" x14ac:dyDescent="0.25">
      <c r="A75" s="67" t="s">
        <v>471</v>
      </c>
      <c r="B75" s="68">
        <v>46101</v>
      </c>
      <c r="C75" s="69">
        <v>33420</v>
      </c>
      <c r="D75" s="70"/>
      <c r="E75" s="70"/>
      <c r="F75" s="70"/>
      <c r="G75" s="71"/>
    </row>
    <row r="76" spans="1:7" ht="15.75" thickBot="1" x14ac:dyDescent="0.3">
      <c r="A76" s="67" t="s">
        <v>426</v>
      </c>
      <c r="B76" s="68">
        <v>46106</v>
      </c>
      <c r="C76" s="72">
        <v>39660</v>
      </c>
      <c r="D76" s="70"/>
      <c r="E76" s="70"/>
      <c r="F76" s="70"/>
      <c r="G76" s="71"/>
    </row>
    <row r="77" spans="1:7" x14ac:dyDescent="0.25">
      <c r="A77" s="67"/>
      <c r="B77" s="68"/>
      <c r="C77" s="73">
        <f>C76-C75</f>
        <v>6240</v>
      </c>
      <c r="D77" s="70"/>
      <c r="E77" s="70"/>
      <c r="F77" s="70"/>
      <c r="G77" s="71"/>
    </row>
    <row r="78" spans="1:7" ht="15.75" thickBot="1" x14ac:dyDescent="0.3">
      <c r="A78" s="67"/>
      <c r="B78" s="70" t="s">
        <v>472</v>
      </c>
      <c r="C78" s="74" t="s">
        <v>473</v>
      </c>
      <c r="D78" s="70"/>
      <c r="E78" s="70"/>
      <c r="F78" s="70"/>
      <c r="G78" s="71"/>
    </row>
    <row r="79" spans="1:7" x14ac:dyDescent="0.25">
      <c r="A79" s="67"/>
      <c r="B79" s="70"/>
      <c r="C79" s="75">
        <f>C77*C78</f>
        <v>2496</v>
      </c>
      <c r="D79" s="70"/>
      <c r="E79" s="70"/>
      <c r="F79" s="70"/>
      <c r="G79" s="71"/>
    </row>
    <row r="80" spans="1:7" ht="15.75" thickBot="1" x14ac:dyDescent="0.3">
      <c r="A80" s="67"/>
      <c r="B80" s="70" t="s">
        <v>474</v>
      </c>
      <c r="C80" s="72">
        <f>C75</f>
        <v>33420</v>
      </c>
      <c r="D80" s="70"/>
      <c r="E80" s="70"/>
      <c r="F80" s="70"/>
      <c r="G80" s="71"/>
    </row>
    <row r="81" spans="1:7" x14ac:dyDescent="0.25">
      <c r="A81" s="67"/>
      <c r="B81" s="70"/>
      <c r="C81" s="81">
        <f>C79/C80*100</f>
        <v>7.4685816876122075</v>
      </c>
      <c r="D81" s="77" t="s">
        <v>492</v>
      </c>
      <c r="E81" s="70"/>
      <c r="F81" s="70"/>
      <c r="G81" s="71"/>
    </row>
    <row r="82" spans="1:7" x14ac:dyDescent="0.25">
      <c r="A82" s="67"/>
      <c r="B82" s="70"/>
      <c r="C82" s="70"/>
      <c r="D82" s="70"/>
      <c r="E82" s="70"/>
      <c r="F82" s="70"/>
      <c r="G82" s="71"/>
    </row>
    <row r="83" spans="1:7" ht="15.75" thickBot="1" x14ac:dyDescent="0.3">
      <c r="A83" s="78"/>
      <c r="B83" s="79"/>
      <c r="C83" s="79"/>
      <c r="D83" s="79"/>
      <c r="E83" s="79"/>
      <c r="F83" s="79"/>
      <c r="G83" s="80"/>
    </row>
    <row r="84" spans="1:7" ht="15.75" thickBot="1" x14ac:dyDescent="0.3"/>
    <row r="85" spans="1:7" ht="15.75" thickBot="1" x14ac:dyDescent="0.3">
      <c r="A85" s="121" t="s">
        <v>468</v>
      </c>
      <c r="B85" s="122"/>
      <c r="C85" s="122"/>
      <c r="D85" s="122"/>
      <c r="E85" s="122"/>
      <c r="F85" s="122"/>
      <c r="G85" s="123"/>
    </row>
    <row r="86" spans="1:7" x14ac:dyDescent="0.25">
      <c r="A86" s="64"/>
      <c r="B86" s="65" t="s">
        <v>469</v>
      </c>
      <c r="C86" s="65" t="s">
        <v>470</v>
      </c>
      <c r="D86" s="65"/>
      <c r="E86" s="65"/>
      <c r="F86" s="65"/>
      <c r="G86" s="66"/>
    </row>
    <row r="87" spans="1:7" x14ac:dyDescent="0.25">
      <c r="A87" s="67" t="s">
        <v>471</v>
      </c>
      <c r="B87" s="68">
        <v>46106</v>
      </c>
      <c r="C87" s="69">
        <v>39660</v>
      </c>
      <c r="D87" s="70"/>
      <c r="E87" s="70"/>
      <c r="F87" s="70"/>
      <c r="G87" s="71"/>
    </row>
    <row r="88" spans="1:7" ht="15.75" thickBot="1" x14ac:dyDescent="0.3">
      <c r="A88" s="67" t="s">
        <v>426</v>
      </c>
      <c r="B88" s="68">
        <v>46107</v>
      </c>
      <c r="C88" s="72">
        <v>37890</v>
      </c>
      <c r="D88" s="70"/>
      <c r="E88" s="70"/>
      <c r="F88" s="70"/>
      <c r="G88" s="71"/>
    </row>
    <row r="89" spans="1:7" x14ac:dyDescent="0.25">
      <c r="A89" s="67"/>
      <c r="B89" s="68"/>
      <c r="C89" s="73">
        <f>C88-C87</f>
        <v>-1770</v>
      </c>
      <c r="D89" s="70"/>
      <c r="E89" s="70"/>
      <c r="F89" s="70"/>
      <c r="G89" s="71"/>
    </row>
    <row r="90" spans="1:7" ht="15.75" thickBot="1" x14ac:dyDescent="0.3">
      <c r="A90" s="67"/>
      <c r="B90" s="70" t="s">
        <v>472</v>
      </c>
      <c r="C90" s="74" t="s">
        <v>473</v>
      </c>
      <c r="D90" s="70"/>
      <c r="E90" s="70"/>
      <c r="F90" s="70"/>
      <c r="G90" s="71"/>
    </row>
    <row r="91" spans="1:7" x14ac:dyDescent="0.25">
      <c r="A91" s="67"/>
      <c r="B91" s="70"/>
      <c r="C91" s="75">
        <f>C89*C90</f>
        <v>-708</v>
      </c>
      <c r="D91" s="70"/>
      <c r="E91" s="70"/>
      <c r="F91" s="70"/>
      <c r="G91" s="71"/>
    </row>
    <row r="92" spans="1:7" ht="15.75" thickBot="1" x14ac:dyDescent="0.3">
      <c r="A92" s="67"/>
      <c r="B92" s="70" t="s">
        <v>474</v>
      </c>
      <c r="C92" s="72">
        <f>C87</f>
        <v>39660</v>
      </c>
      <c r="D92" s="70"/>
      <c r="E92" s="70"/>
      <c r="F92" s="70"/>
      <c r="G92" s="71"/>
    </row>
    <row r="93" spans="1:7" x14ac:dyDescent="0.25">
      <c r="A93" s="67"/>
      <c r="B93" s="70"/>
      <c r="C93" s="81">
        <f>C91/C92*100</f>
        <v>-1.7851739788199699</v>
      </c>
      <c r="D93" s="77" t="s">
        <v>493</v>
      </c>
      <c r="E93" s="70"/>
      <c r="F93" s="70"/>
      <c r="G93" s="71"/>
    </row>
    <row r="94" spans="1:7" x14ac:dyDescent="0.25">
      <c r="A94" s="67"/>
      <c r="B94" s="70"/>
      <c r="C94" s="70"/>
      <c r="D94" s="70"/>
      <c r="E94" s="70"/>
      <c r="F94" s="70"/>
      <c r="G94" s="71"/>
    </row>
    <row r="95" spans="1:7" ht="15.75" thickBot="1" x14ac:dyDescent="0.3">
      <c r="A95" s="78"/>
      <c r="B95" s="79"/>
      <c r="C95" s="79"/>
      <c r="D95" s="79"/>
      <c r="E95" s="79"/>
      <c r="F95" s="79"/>
      <c r="G95" s="80"/>
    </row>
    <row r="96" spans="1:7" ht="15.75" thickBot="1" x14ac:dyDescent="0.3"/>
    <row r="97" spans="1:7" ht="15.75" thickBot="1" x14ac:dyDescent="0.3">
      <c r="A97" s="121" t="s">
        <v>468</v>
      </c>
      <c r="B97" s="122"/>
      <c r="C97" s="122"/>
      <c r="D97" s="122"/>
      <c r="E97" s="122"/>
      <c r="F97" s="122"/>
      <c r="G97" s="123"/>
    </row>
    <row r="98" spans="1:7" x14ac:dyDescent="0.25">
      <c r="A98" s="64"/>
      <c r="B98" s="65" t="s">
        <v>469</v>
      </c>
      <c r="C98" s="65" t="s">
        <v>470</v>
      </c>
      <c r="D98" s="65"/>
      <c r="E98" s="65"/>
      <c r="F98" s="65"/>
      <c r="G98" s="66"/>
    </row>
    <row r="99" spans="1:7" x14ac:dyDescent="0.25">
      <c r="A99" s="67" t="s">
        <v>471</v>
      </c>
      <c r="B99" s="68">
        <v>46107</v>
      </c>
      <c r="C99" s="69">
        <v>37890</v>
      </c>
      <c r="D99" s="70"/>
      <c r="E99" s="70"/>
      <c r="F99" s="70"/>
      <c r="G99" s="71"/>
    </row>
    <row r="100" spans="1:7" ht="15.75" thickBot="1" x14ac:dyDescent="0.3">
      <c r="A100" s="67" t="s">
        <v>426</v>
      </c>
      <c r="B100" s="68">
        <v>46108</v>
      </c>
      <c r="C100" s="72">
        <v>35440</v>
      </c>
      <c r="D100" s="70"/>
      <c r="E100" s="70"/>
      <c r="F100" s="70"/>
      <c r="G100" s="71"/>
    </row>
    <row r="101" spans="1:7" x14ac:dyDescent="0.25">
      <c r="A101" s="67"/>
      <c r="B101" s="68"/>
      <c r="C101" s="73">
        <f>C100-C99</f>
        <v>-2450</v>
      </c>
      <c r="D101" s="70"/>
      <c r="E101" s="70"/>
      <c r="F101" s="70"/>
      <c r="G101" s="71"/>
    </row>
    <row r="102" spans="1:7" ht="15.75" thickBot="1" x14ac:dyDescent="0.3">
      <c r="A102" s="67"/>
      <c r="B102" s="70" t="s">
        <v>472</v>
      </c>
      <c r="C102" s="74" t="s">
        <v>473</v>
      </c>
      <c r="D102" s="70"/>
      <c r="E102" s="70"/>
      <c r="F102" s="70"/>
      <c r="G102" s="71"/>
    </row>
    <row r="103" spans="1:7" x14ac:dyDescent="0.25">
      <c r="A103" s="67"/>
      <c r="B103" s="70"/>
      <c r="C103" s="75">
        <f>C101*C102</f>
        <v>-980</v>
      </c>
      <c r="D103" s="70"/>
      <c r="E103" s="70"/>
      <c r="F103" s="70"/>
      <c r="G103" s="71"/>
    </row>
    <row r="104" spans="1:7" ht="15.75" thickBot="1" x14ac:dyDescent="0.3">
      <c r="A104" s="67"/>
      <c r="B104" s="70" t="s">
        <v>474</v>
      </c>
      <c r="C104" s="72">
        <f>C99</f>
        <v>37890</v>
      </c>
      <c r="D104" s="70"/>
      <c r="E104" s="70"/>
      <c r="F104" s="70"/>
      <c r="G104" s="71"/>
    </row>
    <row r="105" spans="1:7" x14ac:dyDescent="0.25">
      <c r="A105" s="67"/>
      <c r="B105" s="70"/>
      <c r="C105" s="81">
        <f>C103/C104*100</f>
        <v>-2.5864344154130374</v>
      </c>
      <c r="D105" s="77" t="s">
        <v>494</v>
      </c>
      <c r="E105" s="70"/>
      <c r="F105" s="70"/>
      <c r="G105" s="71"/>
    </row>
    <row r="106" spans="1:7" x14ac:dyDescent="0.25">
      <c r="A106" s="67"/>
      <c r="B106" s="70"/>
      <c r="C106" s="70"/>
      <c r="D106" s="70"/>
      <c r="E106" s="70"/>
      <c r="F106" s="70"/>
      <c r="G106" s="71"/>
    </row>
    <row r="107" spans="1:7" ht="15.75" thickBot="1" x14ac:dyDescent="0.3">
      <c r="A107" s="78"/>
      <c r="B107" s="79"/>
      <c r="C107" s="79"/>
      <c r="D107" s="79"/>
      <c r="E107" s="79"/>
      <c r="F107" s="79"/>
      <c r="G107" s="80"/>
    </row>
    <row r="108" spans="1:7" ht="15.75" thickBot="1" x14ac:dyDescent="0.3"/>
    <row r="109" spans="1:7" ht="15.75" thickBot="1" x14ac:dyDescent="0.3">
      <c r="A109" s="121" t="s">
        <v>468</v>
      </c>
      <c r="B109" s="122"/>
      <c r="C109" s="122"/>
      <c r="D109" s="122"/>
      <c r="E109" s="122"/>
      <c r="F109" s="122"/>
      <c r="G109" s="123"/>
    </row>
    <row r="110" spans="1:7" x14ac:dyDescent="0.25">
      <c r="A110" s="64"/>
      <c r="B110" s="65" t="s">
        <v>469</v>
      </c>
      <c r="C110" s="65" t="s">
        <v>470</v>
      </c>
      <c r="D110" s="65"/>
      <c r="E110" s="65"/>
      <c r="F110" s="65"/>
      <c r="G110" s="66"/>
    </row>
    <row r="111" spans="1:7" x14ac:dyDescent="0.25">
      <c r="A111" s="67" t="s">
        <v>471</v>
      </c>
      <c r="B111" s="68">
        <v>46108</v>
      </c>
      <c r="C111" s="69">
        <v>35440</v>
      </c>
      <c r="D111" s="70"/>
      <c r="E111" s="70"/>
      <c r="F111" s="70"/>
      <c r="G111" s="71"/>
    </row>
    <row r="112" spans="1:7" ht="15.75" thickBot="1" x14ac:dyDescent="0.3">
      <c r="A112" s="67" t="s">
        <v>426</v>
      </c>
      <c r="B112" s="68">
        <v>46114</v>
      </c>
      <c r="C112" s="72">
        <v>40820</v>
      </c>
      <c r="D112" s="70"/>
      <c r="E112" s="70"/>
      <c r="F112" s="70"/>
      <c r="G112" s="71"/>
    </row>
    <row r="113" spans="1:7" x14ac:dyDescent="0.25">
      <c r="A113" s="67"/>
      <c r="B113" s="68"/>
      <c r="C113" s="73">
        <f>C112-C111</f>
        <v>5380</v>
      </c>
      <c r="D113" s="70"/>
      <c r="E113" s="70"/>
      <c r="F113" s="70"/>
      <c r="G113" s="71"/>
    </row>
    <row r="114" spans="1:7" ht="15.75" thickBot="1" x14ac:dyDescent="0.3">
      <c r="A114" s="67"/>
      <c r="B114" s="70" t="s">
        <v>472</v>
      </c>
      <c r="C114" s="74" t="s">
        <v>473</v>
      </c>
      <c r="D114" s="70"/>
      <c r="E114" s="70"/>
      <c r="F114" s="70"/>
      <c r="G114" s="71"/>
    </row>
    <row r="115" spans="1:7" x14ac:dyDescent="0.25">
      <c r="A115" s="67"/>
      <c r="B115" s="70"/>
      <c r="C115" s="75">
        <f>C113*C114</f>
        <v>2152</v>
      </c>
      <c r="D115" s="70"/>
      <c r="E115" s="70"/>
      <c r="F115" s="70"/>
      <c r="G115" s="71"/>
    </row>
    <row r="116" spans="1:7" ht="15.75" thickBot="1" x14ac:dyDescent="0.3">
      <c r="A116" s="67"/>
      <c r="B116" s="70" t="s">
        <v>474</v>
      </c>
      <c r="C116" s="72">
        <f>C111</f>
        <v>35440</v>
      </c>
      <c r="D116" s="70"/>
      <c r="E116" s="70"/>
      <c r="F116" s="70"/>
      <c r="G116" s="71"/>
    </row>
    <row r="117" spans="1:7" x14ac:dyDescent="0.25">
      <c r="A117" s="67"/>
      <c r="B117" s="70"/>
      <c r="C117" s="81">
        <f>C115/C116*100</f>
        <v>6.0722347629796847</v>
      </c>
      <c r="D117" s="77" t="s">
        <v>516</v>
      </c>
      <c r="E117" s="70"/>
      <c r="F117" s="70"/>
      <c r="G117" s="71"/>
    </row>
    <row r="118" spans="1:7" x14ac:dyDescent="0.25">
      <c r="A118" s="67"/>
      <c r="B118" s="70"/>
      <c r="C118" s="70"/>
      <c r="D118" s="70"/>
      <c r="E118" s="70"/>
      <c r="F118" s="70"/>
      <c r="G118" s="71"/>
    </row>
    <row r="119" spans="1:7" ht="15.75" thickBot="1" x14ac:dyDescent="0.3">
      <c r="A119" s="78"/>
      <c r="B119" s="79"/>
      <c r="C119" s="79"/>
      <c r="D119" s="79"/>
      <c r="E119" s="79"/>
      <c r="F119" s="79"/>
      <c r="G119" s="80"/>
    </row>
    <row r="120" spans="1:7" ht="15.75" thickBot="1" x14ac:dyDescent="0.3"/>
    <row r="121" spans="1:7" ht="15.75" thickBot="1" x14ac:dyDescent="0.3">
      <c r="A121" s="121" t="s">
        <v>468</v>
      </c>
      <c r="B121" s="122"/>
      <c r="C121" s="122"/>
      <c r="D121" s="122"/>
      <c r="E121" s="122"/>
      <c r="F121" s="122"/>
      <c r="G121" s="123"/>
    </row>
    <row r="122" spans="1:7" x14ac:dyDescent="0.25">
      <c r="A122" s="64"/>
      <c r="B122" s="65" t="s">
        <v>469</v>
      </c>
      <c r="C122" s="65" t="s">
        <v>470</v>
      </c>
      <c r="D122" s="65"/>
      <c r="E122" s="65"/>
      <c r="F122" s="65"/>
      <c r="G122" s="66"/>
    </row>
    <row r="123" spans="1:7" x14ac:dyDescent="0.25">
      <c r="A123" s="67" t="s">
        <v>471</v>
      </c>
      <c r="B123" s="68">
        <v>46114</v>
      </c>
      <c r="C123" s="69">
        <v>40820</v>
      </c>
      <c r="D123" s="70"/>
      <c r="E123" s="70"/>
      <c r="F123" s="70"/>
      <c r="G123" s="71"/>
    </row>
    <row r="124" spans="1:7" ht="15.75" thickBot="1" x14ac:dyDescent="0.3">
      <c r="A124" s="67" t="s">
        <v>426</v>
      </c>
      <c r="B124" s="68">
        <v>46115</v>
      </c>
      <c r="C124" s="72">
        <v>44780</v>
      </c>
      <c r="D124" s="70"/>
      <c r="E124" s="70"/>
      <c r="F124" s="70"/>
      <c r="G124" s="71"/>
    </row>
    <row r="125" spans="1:7" x14ac:dyDescent="0.25">
      <c r="A125" s="67"/>
      <c r="B125" s="68"/>
      <c r="C125" s="73">
        <f>C124-C123</f>
        <v>3960</v>
      </c>
      <c r="D125" s="70"/>
      <c r="E125" s="70"/>
      <c r="F125" s="70"/>
      <c r="G125" s="71"/>
    </row>
    <row r="126" spans="1:7" ht="15.75" thickBot="1" x14ac:dyDescent="0.3">
      <c r="A126" s="67"/>
      <c r="B126" s="70" t="s">
        <v>472</v>
      </c>
      <c r="C126" s="74" t="s">
        <v>473</v>
      </c>
      <c r="D126" s="70"/>
      <c r="E126" s="70"/>
      <c r="F126" s="70"/>
      <c r="G126" s="71"/>
    </row>
    <row r="127" spans="1:7" x14ac:dyDescent="0.25">
      <c r="A127" s="67"/>
      <c r="B127" s="70"/>
      <c r="C127" s="75">
        <f>C125*C126</f>
        <v>1584</v>
      </c>
      <c r="D127" s="70"/>
      <c r="E127" s="70"/>
      <c r="F127" s="70"/>
      <c r="G127" s="71"/>
    </row>
    <row r="128" spans="1:7" ht="15.75" thickBot="1" x14ac:dyDescent="0.3">
      <c r="A128" s="67"/>
      <c r="B128" s="70" t="s">
        <v>474</v>
      </c>
      <c r="C128" s="72">
        <f>C123</f>
        <v>40820</v>
      </c>
      <c r="D128" s="70"/>
      <c r="E128" s="70"/>
      <c r="F128" s="70"/>
      <c r="G128" s="71"/>
    </row>
    <row r="129" spans="1:7" x14ac:dyDescent="0.25">
      <c r="A129" s="67"/>
      <c r="B129" s="70"/>
      <c r="C129" s="81">
        <f>C127/C128*100</f>
        <v>3.8804507594316515</v>
      </c>
      <c r="D129" s="77" t="s">
        <v>517</v>
      </c>
      <c r="E129" s="70"/>
      <c r="F129" s="70"/>
      <c r="G129" s="71"/>
    </row>
    <row r="130" spans="1:7" x14ac:dyDescent="0.25">
      <c r="A130" s="67"/>
      <c r="B130" s="70"/>
      <c r="C130" s="70"/>
      <c r="D130" s="70"/>
      <c r="E130" s="70"/>
      <c r="F130" s="70"/>
      <c r="G130" s="71"/>
    </row>
    <row r="131" spans="1:7" ht="15.75" thickBot="1" x14ac:dyDescent="0.3">
      <c r="A131" s="78"/>
      <c r="B131" s="79"/>
      <c r="C131" s="79"/>
      <c r="D131" s="79"/>
      <c r="E131" s="79"/>
      <c r="F131" s="79"/>
      <c r="G131" s="80"/>
    </row>
    <row r="132" spans="1:7" ht="15.75" thickBot="1" x14ac:dyDescent="0.3"/>
    <row r="133" spans="1:7" ht="15.75" thickBot="1" x14ac:dyDescent="0.3">
      <c r="A133" s="121" t="s">
        <v>468</v>
      </c>
      <c r="B133" s="122"/>
      <c r="C133" s="122"/>
      <c r="D133" s="122"/>
      <c r="E133" s="122"/>
      <c r="F133" s="122"/>
      <c r="G133" s="123"/>
    </row>
    <row r="134" spans="1:7" x14ac:dyDescent="0.25">
      <c r="A134" s="64"/>
      <c r="B134" s="65" t="s">
        <v>469</v>
      </c>
      <c r="C134" s="65" t="s">
        <v>470</v>
      </c>
      <c r="D134" s="65"/>
      <c r="E134" s="65"/>
      <c r="F134" s="65"/>
      <c r="G134" s="66"/>
    </row>
    <row r="135" spans="1:7" x14ac:dyDescent="0.25">
      <c r="A135" s="67" t="s">
        <v>471</v>
      </c>
      <c r="B135" s="68">
        <v>46115</v>
      </c>
      <c r="C135" s="69">
        <v>44780</v>
      </c>
      <c r="D135" s="70"/>
      <c r="E135" s="70"/>
      <c r="F135" s="70"/>
      <c r="G135" s="71"/>
    </row>
    <row r="136" spans="1:7" ht="15.75" thickBot="1" x14ac:dyDescent="0.3">
      <c r="A136" s="67" t="s">
        <v>426</v>
      </c>
      <c r="B136" s="68">
        <v>46120</v>
      </c>
      <c r="C136" s="72">
        <v>42840</v>
      </c>
      <c r="D136" s="70"/>
      <c r="E136" s="70"/>
      <c r="F136" s="70"/>
      <c r="G136" s="71"/>
    </row>
    <row r="137" spans="1:7" x14ac:dyDescent="0.25">
      <c r="A137" s="67"/>
      <c r="B137" s="68"/>
      <c r="C137" s="73">
        <f>C136-C135</f>
        <v>-1940</v>
      </c>
      <c r="D137" s="70"/>
      <c r="E137" s="70"/>
      <c r="F137" s="70"/>
      <c r="G137" s="71"/>
    </row>
    <row r="138" spans="1:7" ht="15.75" thickBot="1" x14ac:dyDescent="0.3">
      <c r="A138" s="67"/>
      <c r="B138" s="70" t="s">
        <v>472</v>
      </c>
      <c r="C138" s="74" t="s">
        <v>473</v>
      </c>
      <c r="D138" s="70"/>
      <c r="E138" s="70"/>
      <c r="F138" s="70"/>
      <c r="G138" s="71"/>
    </row>
    <row r="139" spans="1:7" x14ac:dyDescent="0.25">
      <c r="A139" s="67"/>
      <c r="B139" s="70"/>
      <c r="C139" s="75">
        <f>C137*C138</f>
        <v>-776</v>
      </c>
      <c r="D139" s="70"/>
      <c r="E139" s="70"/>
      <c r="F139" s="70"/>
      <c r="G139" s="71"/>
    </row>
    <row r="140" spans="1:7" ht="15.75" thickBot="1" x14ac:dyDescent="0.3">
      <c r="A140" s="67"/>
      <c r="B140" s="70" t="s">
        <v>474</v>
      </c>
      <c r="C140" s="72">
        <f>C135</f>
        <v>44780</v>
      </c>
      <c r="D140" s="70"/>
      <c r="E140" s="70"/>
      <c r="F140" s="70"/>
      <c r="G140" s="71"/>
    </row>
    <row r="141" spans="1:7" x14ac:dyDescent="0.25">
      <c r="A141" s="67"/>
      <c r="B141" s="70"/>
      <c r="C141" s="81">
        <f>C139/C140*100</f>
        <v>-1.7329164805716839</v>
      </c>
      <c r="D141" s="77" t="s">
        <v>518</v>
      </c>
      <c r="E141" s="70"/>
      <c r="F141" s="70"/>
      <c r="G141" s="71"/>
    </row>
    <row r="142" spans="1:7" x14ac:dyDescent="0.25">
      <c r="A142" s="67"/>
      <c r="B142" s="70"/>
      <c r="C142" s="70"/>
      <c r="D142" s="70"/>
      <c r="E142" s="70"/>
      <c r="F142" s="70"/>
      <c r="G142" s="71"/>
    </row>
    <row r="143" spans="1:7" ht="15.75" thickBot="1" x14ac:dyDescent="0.3">
      <c r="A143" s="78"/>
      <c r="B143" s="79"/>
      <c r="C143" s="79"/>
      <c r="D143" s="79"/>
      <c r="E143" s="79"/>
      <c r="F143" s="79"/>
      <c r="G143" s="80"/>
    </row>
    <row r="144" spans="1:7" ht="15.75" thickBot="1" x14ac:dyDescent="0.3"/>
    <row r="145" spans="1:7" ht="15.75" thickBot="1" x14ac:dyDescent="0.3">
      <c r="A145" s="121" t="s">
        <v>468</v>
      </c>
      <c r="B145" s="122"/>
      <c r="C145" s="122"/>
      <c r="D145" s="122"/>
      <c r="E145" s="122"/>
      <c r="F145" s="122"/>
      <c r="G145" s="123"/>
    </row>
    <row r="146" spans="1:7" x14ac:dyDescent="0.25">
      <c r="A146" s="64"/>
      <c r="B146" s="65" t="s">
        <v>469</v>
      </c>
      <c r="C146" s="65" t="s">
        <v>470</v>
      </c>
      <c r="D146" s="65"/>
      <c r="E146" s="65"/>
      <c r="F146" s="65"/>
      <c r="G146" s="66"/>
    </row>
    <row r="147" spans="1:7" x14ac:dyDescent="0.25">
      <c r="A147" s="67" t="s">
        <v>471</v>
      </c>
      <c r="B147" s="68">
        <v>46120</v>
      </c>
      <c r="C147" s="69">
        <v>42840</v>
      </c>
      <c r="D147" s="70"/>
      <c r="E147" s="70"/>
      <c r="F147" s="70"/>
      <c r="G147" s="71"/>
    </row>
    <row r="148" spans="1:7" ht="15.75" thickBot="1" x14ac:dyDescent="0.3">
      <c r="A148" s="67" t="s">
        <v>426</v>
      </c>
      <c r="B148" s="68">
        <v>46121</v>
      </c>
      <c r="C148" s="72">
        <v>32960</v>
      </c>
      <c r="D148" s="70"/>
      <c r="E148" s="70"/>
      <c r="F148" s="70"/>
      <c r="G148" s="71"/>
    </row>
    <row r="149" spans="1:7" x14ac:dyDescent="0.25">
      <c r="A149" s="67"/>
      <c r="B149" s="68"/>
      <c r="C149" s="73">
        <f>C148-C147</f>
        <v>-9880</v>
      </c>
      <c r="D149" s="70"/>
      <c r="E149" s="70"/>
      <c r="F149" s="70"/>
      <c r="G149" s="71"/>
    </row>
    <row r="150" spans="1:7" ht="15.75" thickBot="1" x14ac:dyDescent="0.3">
      <c r="A150" s="67"/>
      <c r="B150" s="70" t="s">
        <v>472</v>
      </c>
      <c r="C150" s="74" t="s">
        <v>473</v>
      </c>
      <c r="D150" s="70"/>
      <c r="E150" s="70"/>
      <c r="F150" s="70"/>
      <c r="G150" s="71"/>
    </row>
    <row r="151" spans="1:7" x14ac:dyDescent="0.25">
      <c r="A151" s="67"/>
      <c r="B151" s="70"/>
      <c r="C151" s="75">
        <f>C149*C150</f>
        <v>-3952</v>
      </c>
      <c r="D151" s="70"/>
      <c r="E151" s="70"/>
      <c r="F151" s="70"/>
      <c r="G151" s="71"/>
    </row>
    <row r="152" spans="1:7" ht="15.75" thickBot="1" x14ac:dyDescent="0.3">
      <c r="A152" s="67"/>
      <c r="B152" s="70" t="s">
        <v>474</v>
      </c>
      <c r="C152" s="72">
        <f>C147</f>
        <v>42840</v>
      </c>
      <c r="D152" s="70"/>
      <c r="E152" s="70"/>
      <c r="F152" s="70"/>
      <c r="G152" s="71"/>
    </row>
    <row r="153" spans="1:7" x14ac:dyDescent="0.25">
      <c r="A153" s="67"/>
      <c r="B153" s="70"/>
      <c r="C153" s="81">
        <f>C151/C152*100</f>
        <v>-9.2250233426704025</v>
      </c>
      <c r="D153" s="77" t="s">
        <v>519</v>
      </c>
      <c r="E153" s="70"/>
      <c r="F153" s="70"/>
      <c r="G153" s="71"/>
    </row>
    <row r="154" spans="1:7" x14ac:dyDescent="0.25">
      <c r="A154" s="67"/>
      <c r="B154" s="70"/>
      <c r="C154" s="70"/>
      <c r="D154" s="70"/>
      <c r="E154" s="70"/>
      <c r="F154" s="70"/>
      <c r="G154" s="71"/>
    </row>
    <row r="155" spans="1:7" ht="15.75" thickBot="1" x14ac:dyDescent="0.3">
      <c r="A155" s="78"/>
      <c r="B155" s="79"/>
      <c r="C155" s="79"/>
      <c r="D155" s="79"/>
      <c r="E155" s="79"/>
      <c r="F155" s="79"/>
      <c r="G155" s="80"/>
    </row>
    <row r="156" spans="1:7" ht="15.75" thickBot="1" x14ac:dyDescent="0.3"/>
    <row r="157" spans="1:7" ht="15.75" thickBot="1" x14ac:dyDescent="0.3">
      <c r="A157" s="121" t="s">
        <v>468</v>
      </c>
      <c r="B157" s="122"/>
      <c r="C157" s="122"/>
      <c r="D157" s="122"/>
      <c r="E157" s="122"/>
      <c r="F157" s="122"/>
      <c r="G157" s="123"/>
    </row>
    <row r="158" spans="1:7" x14ac:dyDescent="0.25">
      <c r="A158" s="64"/>
      <c r="B158" s="65" t="s">
        <v>469</v>
      </c>
      <c r="C158" s="65" t="s">
        <v>470</v>
      </c>
      <c r="D158" s="65"/>
      <c r="E158" s="65"/>
      <c r="F158" s="65"/>
      <c r="G158" s="66"/>
    </row>
    <row r="159" spans="1:7" x14ac:dyDescent="0.25">
      <c r="A159" s="67" t="s">
        <v>471</v>
      </c>
      <c r="B159" s="68">
        <v>46121</v>
      </c>
      <c r="C159" s="69">
        <v>32960</v>
      </c>
      <c r="D159" s="70"/>
      <c r="E159" s="70"/>
      <c r="F159" s="70"/>
      <c r="G159" s="71"/>
    </row>
    <row r="160" spans="1:7" ht="15.75" thickBot="1" x14ac:dyDescent="0.3">
      <c r="A160" s="67" t="s">
        <v>426</v>
      </c>
      <c r="B160" s="68">
        <v>46127</v>
      </c>
      <c r="C160" s="72">
        <v>31040</v>
      </c>
      <c r="D160" s="70"/>
      <c r="E160" s="70"/>
      <c r="F160" s="70"/>
      <c r="G160" s="71"/>
    </row>
    <row r="161" spans="1:7" x14ac:dyDescent="0.25">
      <c r="A161" s="67"/>
      <c r="B161" s="68"/>
      <c r="C161" s="73">
        <f>C160-C159</f>
        <v>-1920</v>
      </c>
      <c r="D161" s="70"/>
      <c r="E161" s="70"/>
      <c r="F161" s="70"/>
      <c r="G161" s="71"/>
    </row>
    <row r="162" spans="1:7" ht="15.75" thickBot="1" x14ac:dyDescent="0.3">
      <c r="A162" s="67"/>
      <c r="B162" s="70" t="s">
        <v>472</v>
      </c>
      <c r="C162" s="74" t="s">
        <v>473</v>
      </c>
      <c r="D162" s="70"/>
      <c r="E162" s="70"/>
      <c r="F162" s="70"/>
      <c r="G162" s="71"/>
    </row>
    <row r="163" spans="1:7" x14ac:dyDescent="0.25">
      <c r="A163" s="67"/>
      <c r="B163" s="70"/>
      <c r="C163" s="75">
        <f>C161*C162</f>
        <v>-768</v>
      </c>
      <c r="D163" s="70"/>
      <c r="E163" s="70"/>
      <c r="F163" s="70"/>
      <c r="G163" s="71"/>
    </row>
    <row r="164" spans="1:7" ht="15.75" thickBot="1" x14ac:dyDescent="0.3">
      <c r="A164" s="67"/>
      <c r="B164" s="70" t="s">
        <v>474</v>
      </c>
      <c r="C164" s="72">
        <f>C159</f>
        <v>32960</v>
      </c>
      <c r="D164" s="70"/>
      <c r="E164" s="70"/>
      <c r="F164" s="70"/>
      <c r="G164" s="71"/>
    </row>
    <row r="165" spans="1:7" x14ac:dyDescent="0.25">
      <c r="A165" s="67"/>
      <c r="B165" s="70"/>
      <c r="C165" s="81">
        <f>C163/C164*100</f>
        <v>-2.3300970873786406</v>
      </c>
      <c r="D165" s="77" t="s">
        <v>520</v>
      </c>
      <c r="E165" s="70"/>
      <c r="F165" s="70"/>
      <c r="G165" s="71"/>
    </row>
    <row r="166" spans="1:7" x14ac:dyDescent="0.25">
      <c r="A166" s="67"/>
      <c r="B166" s="70"/>
      <c r="C166" s="70"/>
      <c r="D166" s="70"/>
      <c r="E166" s="70"/>
      <c r="F166" s="70"/>
      <c r="G166" s="71"/>
    </row>
    <row r="167" spans="1:7" ht="15.75" thickBot="1" x14ac:dyDescent="0.3">
      <c r="A167" s="78"/>
      <c r="B167" s="79"/>
      <c r="C167" s="79"/>
      <c r="D167" s="79"/>
      <c r="E167" s="79"/>
      <c r="F167" s="79"/>
      <c r="G167" s="80"/>
    </row>
    <row r="169" spans="1:7" ht="15.75" thickBot="1" x14ac:dyDescent="0.3"/>
    <row r="170" spans="1:7" ht="15.75" thickBot="1" x14ac:dyDescent="0.3">
      <c r="A170" s="121" t="s">
        <v>468</v>
      </c>
      <c r="B170" s="122"/>
      <c r="C170" s="122"/>
      <c r="D170" s="122"/>
      <c r="E170" s="122"/>
      <c r="F170" s="122"/>
      <c r="G170" s="123"/>
    </row>
    <row r="171" spans="1:7" x14ac:dyDescent="0.25">
      <c r="A171" s="64"/>
      <c r="B171" s="65" t="s">
        <v>469</v>
      </c>
      <c r="C171" s="65" t="s">
        <v>470</v>
      </c>
      <c r="D171" s="65"/>
      <c r="E171" s="65"/>
      <c r="F171" s="65"/>
      <c r="G171" s="66"/>
    </row>
    <row r="172" spans="1:7" ht="15.75" thickBot="1" x14ac:dyDescent="0.3">
      <c r="A172" s="67" t="s">
        <v>471</v>
      </c>
      <c r="B172" s="68">
        <v>46127</v>
      </c>
      <c r="C172" s="72">
        <v>31040</v>
      </c>
      <c r="D172" s="70"/>
      <c r="E172" s="70"/>
      <c r="F172" s="70"/>
      <c r="G172" s="71"/>
    </row>
    <row r="173" spans="1:7" ht="15.75" thickBot="1" x14ac:dyDescent="0.3">
      <c r="A173" s="67" t="s">
        <v>426</v>
      </c>
      <c r="B173" s="68">
        <v>46133</v>
      </c>
      <c r="C173" s="72">
        <v>27850</v>
      </c>
      <c r="D173" s="70"/>
      <c r="E173" s="70"/>
      <c r="F173" s="70"/>
      <c r="G173" s="71"/>
    </row>
    <row r="174" spans="1:7" x14ac:dyDescent="0.25">
      <c r="A174" s="67"/>
      <c r="B174" s="68"/>
      <c r="C174" s="73">
        <f>C173-C172</f>
        <v>-3190</v>
      </c>
      <c r="D174" s="70"/>
      <c r="E174" s="70"/>
      <c r="F174" s="70"/>
      <c r="G174" s="71"/>
    </row>
    <row r="175" spans="1:7" ht="15.75" thickBot="1" x14ac:dyDescent="0.3">
      <c r="A175" s="67"/>
      <c r="B175" s="70" t="s">
        <v>472</v>
      </c>
      <c r="C175" s="74" t="s">
        <v>473</v>
      </c>
      <c r="D175" s="70"/>
      <c r="E175" s="70"/>
      <c r="F175" s="70"/>
      <c r="G175" s="71"/>
    </row>
    <row r="176" spans="1:7" x14ac:dyDescent="0.25">
      <c r="A176" s="67"/>
      <c r="B176" s="70"/>
      <c r="C176" s="75">
        <f>C174*C175</f>
        <v>-1276</v>
      </c>
      <c r="D176" s="70"/>
      <c r="E176" s="70"/>
      <c r="F176" s="70"/>
      <c r="G176" s="71"/>
    </row>
    <row r="177" spans="1:7" ht="15.75" thickBot="1" x14ac:dyDescent="0.3">
      <c r="A177" s="67"/>
      <c r="B177" s="70" t="s">
        <v>474</v>
      </c>
      <c r="C177" s="72">
        <f>C172</f>
        <v>31040</v>
      </c>
      <c r="D177" s="70"/>
      <c r="E177" s="70"/>
      <c r="F177" s="70"/>
      <c r="G177" s="71"/>
    </row>
    <row r="178" spans="1:7" x14ac:dyDescent="0.25">
      <c r="A178" s="67"/>
      <c r="B178" s="70"/>
      <c r="C178" s="81">
        <f>C176/C177*100</f>
        <v>-4.1108247422680408</v>
      </c>
      <c r="D178" s="77" t="s">
        <v>521</v>
      </c>
      <c r="E178" s="70"/>
      <c r="F178" s="70"/>
      <c r="G178" s="71"/>
    </row>
    <row r="179" spans="1:7" x14ac:dyDescent="0.25">
      <c r="A179" s="67"/>
      <c r="B179" s="70"/>
      <c r="C179" s="70"/>
      <c r="D179" s="70"/>
      <c r="E179" s="70"/>
      <c r="F179" s="70"/>
      <c r="G179" s="71"/>
    </row>
    <row r="180" spans="1:7" ht="15.75" thickBot="1" x14ac:dyDescent="0.3">
      <c r="A180" s="78"/>
      <c r="B180" s="79"/>
      <c r="C180" s="79"/>
      <c r="D180" s="79"/>
      <c r="E180" s="79"/>
      <c r="F180" s="79"/>
      <c r="G180" s="80"/>
    </row>
    <row r="182" spans="1:7" ht="15.75" thickBot="1" x14ac:dyDescent="0.3"/>
    <row r="183" spans="1:7" ht="15.75" thickBot="1" x14ac:dyDescent="0.3">
      <c r="A183" s="121" t="s">
        <v>468</v>
      </c>
      <c r="B183" s="122"/>
      <c r="C183" s="122"/>
      <c r="D183" s="122"/>
      <c r="E183" s="122"/>
      <c r="F183" s="122"/>
      <c r="G183" s="123"/>
    </row>
    <row r="184" spans="1:7" x14ac:dyDescent="0.25">
      <c r="A184" s="64"/>
      <c r="B184" s="65" t="s">
        <v>469</v>
      </c>
      <c r="C184" s="65" t="s">
        <v>470</v>
      </c>
      <c r="D184" s="65"/>
      <c r="E184" s="65"/>
      <c r="F184" s="65"/>
      <c r="G184" s="66"/>
    </row>
    <row r="185" spans="1:7" ht="15.75" thickBot="1" x14ac:dyDescent="0.3">
      <c r="A185" s="67" t="s">
        <v>471</v>
      </c>
      <c r="B185" s="68">
        <v>46133</v>
      </c>
      <c r="C185" s="72">
        <v>27850</v>
      </c>
      <c r="D185" s="70"/>
      <c r="E185" s="70"/>
      <c r="F185" s="70"/>
      <c r="G185" s="71"/>
    </row>
    <row r="186" spans="1:7" ht="15.75" thickBot="1" x14ac:dyDescent="0.3">
      <c r="A186" s="67" t="s">
        <v>426</v>
      </c>
      <c r="B186" s="68">
        <v>46135</v>
      </c>
      <c r="C186" s="72">
        <v>26690</v>
      </c>
      <c r="D186" s="70"/>
      <c r="E186" s="70"/>
      <c r="F186" s="70"/>
      <c r="G186" s="71"/>
    </row>
    <row r="187" spans="1:7" x14ac:dyDescent="0.25">
      <c r="A187" s="67"/>
      <c r="B187" s="68"/>
      <c r="C187" s="73">
        <f>C186-C185</f>
        <v>-1160</v>
      </c>
      <c r="D187" s="70"/>
      <c r="E187" s="70"/>
      <c r="F187" s="70"/>
      <c r="G187" s="71"/>
    </row>
    <row r="188" spans="1:7" ht="15.75" thickBot="1" x14ac:dyDescent="0.3">
      <c r="A188" s="67"/>
      <c r="B188" s="70" t="s">
        <v>472</v>
      </c>
      <c r="C188" s="74" t="s">
        <v>473</v>
      </c>
      <c r="D188" s="70"/>
      <c r="E188" s="70"/>
      <c r="F188" s="70"/>
      <c r="G188" s="71"/>
    </row>
    <row r="189" spans="1:7" x14ac:dyDescent="0.25">
      <c r="A189" s="67"/>
      <c r="B189" s="70"/>
      <c r="C189" s="75">
        <f>C187*C188</f>
        <v>-464</v>
      </c>
      <c r="D189" s="70"/>
      <c r="E189" s="70"/>
      <c r="F189" s="70"/>
      <c r="G189" s="71"/>
    </row>
    <row r="190" spans="1:7" ht="15.75" thickBot="1" x14ac:dyDescent="0.3">
      <c r="A190" s="67"/>
      <c r="B190" s="70" t="s">
        <v>474</v>
      </c>
      <c r="C190" s="72">
        <f>C185</f>
        <v>27850</v>
      </c>
      <c r="D190" s="70"/>
      <c r="E190" s="70"/>
      <c r="F190" s="70"/>
      <c r="G190" s="71"/>
    </row>
    <row r="191" spans="1:7" x14ac:dyDescent="0.25">
      <c r="A191" s="67"/>
      <c r="B191" s="70"/>
      <c r="C191" s="81">
        <f>C189/C190*100</f>
        <v>-1.6660682226211851</v>
      </c>
      <c r="D191" s="77" t="s">
        <v>522</v>
      </c>
      <c r="E191" s="70"/>
      <c r="F191" s="70"/>
      <c r="G191" s="71"/>
    </row>
    <row r="192" spans="1:7" x14ac:dyDescent="0.25">
      <c r="A192" s="67"/>
      <c r="B192" s="70"/>
      <c r="C192" s="70"/>
      <c r="D192" s="70"/>
      <c r="E192" s="70"/>
      <c r="F192" s="70"/>
      <c r="G192" s="71"/>
    </row>
    <row r="193" spans="1:7" ht="15.75" thickBot="1" x14ac:dyDescent="0.3">
      <c r="A193" s="78"/>
      <c r="B193" s="79"/>
      <c r="C193" s="79"/>
      <c r="D193" s="79"/>
      <c r="E193" s="79"/>
      <c r="F193" s="79"/>
      <c r="G193" s="80"/>
    </row>
    <row r="194" spans="1:7" ht="15.75" thickBot="1" x14ac:dyDescent="0.3"/>
    <row r="195" spans="1:7" ht="15.75" thickBot="1" x14ac:dyDescent="0.3">
      <c r="A195" s="121" t="s">
        <v>468</v>
      </c>
      <c r="B195" s="122"/>
      <c r="C195" s="122"/>
      <c r="D195" s="122"/>
      <c r="E195" s="122"/>
      <c r="F195" s="122"/>
      <c r="G195" s="123"/>
    </row>
    <row r="196" spans="1:7" x14ac:dyDescent="0.25">
      <c r="A196" s="64"/>
      <c r="B196" s="65" t="s">
        <v>469</v>
      </c>
      <c r="C196" s="65" t="s">
        <v>470</v>
      </c>
      <c r="D196" s="65"/>
      <c r="E196" s="65"/>
      <c r="F196" s="65"/>
      <c r="G196" s="66"/>
    </row>
    <row r="197" spans="1:7" ht="15.75" thickBot="1" x14ac:dyDescent="0.3">
      <c r="A197" s="67" t="s">
        <v>471</v>
      </c>
      <c r="B197" s="68">
        <v>46135</v>
      </c>
      <c r="C197" s="72">
        <v>26690</v>
      </c>
      <c r="D197" s="70"/>
      <c r="E197" s="70"/>
      <c r="F197" s="70"/>
      <c r="G197" s="71"/>
    </row>
    <row r="198" spans="1:7" ht="15.75" thickBot="1" x14ac:dyDescent="0.3">
      <c r="A198" s="67" t="s">
        <v>426</v>
      </c>
      <c r="B198" s="68">
        <v>46142</v>
      </c>
      <c r="C198" s="72">
        <v>28170</v>
      </c>
      <c r="D198" s="70"/>
      <c r="E198" s="70"/>
      <c r="F198" s="70"/>
      <c r="G198" s="71"/>
    </row>
    <row r="199" spans="1:7" x14ac:dyDescent="0.25">
      <c r="A199" s="67"/>
      <c r="B199" s="68"/>
      <c r="C199" s="73">
        <f>C198-C197</f>
        <v>1480</v>
      </c>
      <c r="D199" s="70"/>
      <c r="E199" s="70"/>
      <c r="F199" s="70"/>
      <c r="G199" s="71"/>
    </row>
    <row r="200" spans="1:7" ht="15.75" thickBot="1" x14ac:dyDescent="0.3">
      <c r="A200" s="67"/>
      <c r="B200" s="70" t="s">
        <v>472</v>
      </c>
      <c r="C200" s="74" t="s">
        <v>473</v>
      </c>
      <c r="D200" s="70"/>
      <c r="E200" s="70"/>
      <c r="F200" s="70"/>
      <c r="G200" s="71"/>
    </row>
    <row r="201" spans="1:7" x14ac:dyDescent="0.25">
      <c r="A201" s="67"/>
      <c r="B201" s="70"/>
      <c r="C201" s="75">
        <f>C199*C200</f>
        <v>592</v>
      </c>
      <c r="D201" s="70"/>
      <c r="E201" s="70"/>
      <c r="F201" s="70"/>
      <c r="G201" s="71"/>
    </row>
    <row r="202" spans="1:7" ht="15.75" thickBot="1" x14ac:dyDescent="0.3">
      <c r="A202" s="67"/>
      <c r="B202" s="70" t="s">
        <v>474</v>
      </c>
      <c r="C202" s="72">
        <f>C197</f>
        <v>26690</v>
      </c>
      <c r="D202" s="70"/>
      <c r="E202" s="70"/>
      <c r="F202" s="70"/>
      <c r="G202" s="71"/>
    </row>
    <row r="203" spans="1:7" x14ac:dyDescent="0.25">
      <c r="A203" s="67"/>
      <c r="B203" s="70"/>
      <c r="C203" s="81">
        <f>C201/C202*100</f>
        <v>2.2180591982015736</v>
      </c>
      <c r="D203" s="77" t="s">
        <v>523</v>
      </c>
      <c r="E203" s="70"/>
      <c r="F203" s="70"/>
      <c r="G203" s="71"/>
    </row>
    <row r="204" spans="1:7" x14ac:dyDescent="0.25">
      <c r="A204" s="67"/>
      <c r="B204" s="70"/>
      <c r="C204" s="70"/>
      <c r="D204" s="70"/>
      <c r="E204" s="70"/>
      <c r="F204" s="70"/>
      <c r="G204" s="71"/>
    </row>
    <row r="205" spans="1:7" ht="15.75" thickBot="1" x14ac:dyDescent="0.3">
      <c r="A205" s="78"/>
      <c r="B205" s="79"/>
      <c r="C205" s="79"/>
      <c r="D205" s="79"/>
      <c r="E205" s="79"/>
      <c r="F205" s="79"/>
      <c r="G205" s="80"/>
    </row>
    <row r="207" spans="1:7" ht="15.75" thickBot="1" x14ac:dyDescent="0.3"/>
    <row r="208" spans="1:7" ht="15.75" thickBot="1" x14ac:dyDescent="0.3">
      <c r="A208" s="121" t="s">
        <v>468</v>
      </c>
      <c r="B208" s="122"/>
      <c r="C208" s="122"/>
      <c r="D208" s="122"/>
      <c r="E208" s="122"/>
      <c r="F208" s="122"/>
      <c r="G208" s="123"/>
    </row>
    <row r="209" spans="1:7" x14ac:dyDescent="0.25">
      <c r="A209" s="64"/>
      <c r="B209" s="65" t="s">
        <v>469</v>
      </c>
      <c r="C209" s="65" t="s">
        <v>470</v>
      </c>
      <c r="D209" s="65"/>
      <c r="E209" s="65"/>
      <c r="F209" s="65"/>
      <c r="G209" s="66"/>
    </row>
    <row r="210" spans="1:7" ht="15.75" thickBot="1" x14ac:dyDescent="0.3">
      <c r="A210" s="67" t="s">
        <v>471</v>
      </c>
      <c r="B210" s="68">
        <v>46142</v>
      </c>
      <c r="C210" s="72">
        <v>28170</v>
      </c>
      <c r="D210" s="70"/>
      <c r="E210" s="70"/>
      <c r="F210" s="70"/>
      <c r="G210" s="71"/>
    </row>
    <row r="211" spans="1:7" ht="15.75" thickBot="1" x14ac:dyDescent="0.3">
      <c r="A211" s="67" t="s">
        <v>426</v>
      </c>
      <c r="B211" s="68">
        <v>46192</v>
      </c>
      <c r="C211" s="72">
        <v>23530</v>
      </c>
      <c r="D211" s="70"/>
      <c r="E211" s="70"/>
      <c r="F211" s="70"/>
      <c r="G211" s="71"/>
    </row>
    <row r="212" spans="1:7" x14ac:dyDescent="0.25">
      <c r="A212" s="67"/>
      <c r="B212" s="68"/>
      <c r="C212" s="73">
        <f>C211-C210</f>
        <v>-4640</v>
      </c>
      <c r="D212" s="70"/>
      <c r="E212" s="70"/>
      <c r="F212" s="70"/>
      <c r="G212" s="71"/>
    </row>
    <row r="213" spans="1:7" ht="15.75" thickBot="1" x14ac:dyDescent="0.3">
      <c r="A213" s="67"/>
      <c r="B213" s="70" t="s">
        <v>472</v>
      </c>
      <c r="C213" s="74" t="s">
        <v>473</v>
      </c>
      <c r="D213" s="70"/>
      <c r="E213" s="70"/>
      <c r="F213" s="70"/>
      <c r="G213" s="71"/>
    </row>
    <row r="214" spans="1:7" x14ac:dyDescent="0.25">
      <c r="A214" s="67"/>
      <c r="B214" s="70"/>
      <c r="C214" s="75">
        <f>C212*C213</f>
        <v>-1856</v>
      </c>
      <c r="D214" s="70"/>
      <c r="E214" s="70"/>
      <c r="F214" s="70"/>
      <c r="G214" s="71"/>
    </row>
    <row r="215" spans="1:7" ht="15.75" thickBot="1" x14ac:dyDescent="0.3">
      <c r="A215" s="67"/>
      <c r="B215" s="70" t="s">
        <v>474</v>
      </c>
      <c r="C215" s="72">
        <f>C210</f>
        <v>28170</v>
      </c>
      <c r="D215" s="70"/>
      <c r="E215" s="70"/>
      <c r="F215" s="70"/>
      <c r="G215" s="71"/>
    </row>
    <row r="216" spans="1:7" x14ac:dyDescent="0.25">
      <c r="A216" s="67"/>
      <c r="B216" s="70"/>
      <c r="C216" s="81">
        <f>C214/C215*100</f>
        <v>-6.5885694000709965</v>
      </c>
      <c r="D216" s="77" t="s">
        <v>549</v>
      </c>
      <c r="E216" s="70"/>
      <c r="F216" s="70"/>
      <c r="G216" s="71"/>
    </row>
    <row r="217" spans="1:7" x14ac:dyDescent="0.25">
      <c r="A217" s="67"/>
      <c r="B217" s="70"/>
      <c r="C217" s="70"/>
      <c r="D217" s="70"/>
      <c r="E217" s="70"/>
      <c r="F217" s="70"/>
      <c r="G217" s="71"/>
    </row>
    <row r="218" spans="1:7" ht="15.75" thickBot="1" x14ac:dyDescent="0.3">
      <c r="A218" s="78"/>
      <c r="B218" s="79"/>
      <c r="C218" s="79"/>
      <c r="D218" s="79"/>
      <c r="E218" s="79"/>
      <c r="F218" s="79"/>
      <c r="G218" s="80"/>
    </row>
    <row r="220" spans="1:7" ht="15.75" thickBot="1" x14ac:dyDescent="0.3"/>
    <row r="221" spans="1:7" ht="15.75" thickBot="1" x14ac:dyDescent="0.3">
      <c r="A221" s="121" t="s">
        <v>468</v>
      </c>
      <c r="B221" s="122"/>
      <c r="C221" s="122"/>
      <c r="D221" s="122"/>
      <c r="E221" s="122"/>
      <c r="F221" s="122"/>
      <c r="G221" s="123"/>
    </row>
    <row r="222" spans="1:7" x14ac:dyDescent="0.25">
      <c r="A222" s="64"/>
      <c r="B222" s="65" t="s">
        <v>469</v>
      </c>
      <c r="C222" s="65" t="s">
        <v>470</v>
      </c>
      <c r="D222" s="65"/>
      <c r="E222" s="65"/>
      <c r="F222" s="65"/>
      <c r="G222" s="66"/>
    </row>
    <row r="223" spans="1:7" ht="15.75" thickBot="1" x14ac:dyDescent="0.3">
      <c r="A223" s="67" t="s">
        <v>471</v>
      </c>
      <c r="B223" s="68">
        <v>46198</v>
      </c>
      <c r="C223" s="72">
        <v>23530</v>
      </c>
      <c r="D223" s="70"/>
      <c r="E223" s="70"/>
      <c r="F223" s="70"/>
      <c r="G223" s="71"/>
    </row>
    <row r="224" spans="1:7" ht="15.75" thickBot="1" x14ac:dyDescent="0.3">
      <c r="A224" s="67" t="s">
        <v>426</v>
      </c>
      <c r="B224" s="68">
        <v>46204</v>
      </c>
      <c r="C224" s="72">
        <v>21860</v>
      </c>
      <c r="D224" s="70"/>
      <c r="E224" s="70"/>
      <c r="F224" s="70"/>
      <c r="G224" s="71"/>
    </row>
    <row r="225" spans="1:7" x14ac:dyDescent="0.25">
      <c r="A225" s="67"/>
      <c r="B225" s="68"/>
      <c r="C225" s="73">
        <f>C224-C223</f>
        <v>-1670</v>
      </c>
      <c r="D225" s="70"/>
      <c r="E225" s="70"/>
      <c r="F225" s="70"/>
      <c r="G225" s="71"/>
    </row>
    <row r="226" spans="1:7" ht="15.75" thickBot="1" x14ac:dyDescent="0.3">
      <c r="A226" s="67"/>
      <c r="B226" s="70" t="s">
        <v>472</v>
      </c>
      <c r="C226" s="74" t="s">
        <v>473</v>
      </c>
      <c r="D226" s="70"/>
      <c r="E226" s="70"/>
      <c r="F226" s="70"/>
      <c r="G226" s="71"/>
    </row>
    <row r="227" spans="1:7" x14ac:dyDescent="0.25">
      <c r="A227" s="67"/>
      <c r="B227" s="70"/>
      <c r="C227" s="75">
        <f>C225*C226</f>
        <v>-668</v>
      </c>
      <c r="D227" s="70"/>
      <c r="E227" s="70"/>
      <c r="F227" s="70"/>
      <c r="G227" s="71"/>
    </row>
    <row r="228" spans="1:7" ht="15.75" thickBot="1" x14ac:dyDescent="0.3">
      <c r="A228" s="67"/>
      <c r="B228" s="70" t="s">
        <v>474</v>
      </c>
      <c r="C228" s="72">
        <f>C223</f>
        <v>23530</v>
      </c>
      <c r="D228" s="70"/>
      <c r="E228" s="70"/>
      <c r="F228" s="70"/>
      <c r="G228" s="71"/>
    </row>
    <row r="229" spans="1:7" x14ac:dyDescent="0.25">
      <c r="A229" s="67"/>
      <c r="B229" s="70"/>
      <c r="C229" s="81">
        <f>C227/C228*100</f>
        <v>-2.8389290267743306</v>
      </c>
      <c r="D229" s="77" t="s">
        <v>550</v>
      </c>
      <c r="E229" s="70"/>
      <c r="F229" s="70"/>
      <c r="G229" s="71"/>
    </row>
    <row r="230" spans="1:7" x14ac:dyDescent="0.25">
      <c r="A230" s="67"/>
      <c r="B230" s="70"/>
      <c r="C230" s="70"/>
      <c r="D230" s="70"/>
      <c r="E230" s="70"/>
      <c r="F230" s="70"/>
      <c r="G230" s="71"/>
    </row>
    <row r="231" spans="1:7" ht="15.75" thickBot="1" x14ac:dyDescent="0.3">
      <c r="A231" s="78"/>
      <c r="B231" s="79"/>
      <c r="C231" s="79"/>
      <c r="D231" s="79"/>
      <c r="E231" s="79"/>
      <c r="F231" s="79"/>
      <c r="G231" s="80"/>
    </row>
    <row r="233" spans="1:7" ht="15.75" thickBot="1" x14ac:dyDescent="0.3"/>
    <row r="234" spans="1:7" ht="15.75" thickBot="1" x14ac:dyDescent="0.3">
      <c r="A234" s="121" t="s">
        <v>468</v>
      </c>
      <c r="B234" s="122"/>
      <c r="C234" s="122"/>
      <c r="D234" s="122"/>
      <c r="E234" s="122"/>
      <c r="F234" s="122"/>
      <c r="G234" s="123"/>
    </row>
    <row r="235" spans="1:7" x14ac:dyDescent="0.25">
      <c r="A235" s="64"/>
      <c r="B235" s="65" t="s">
        <v>469</v>
      </c>
      <c r="C235" s="65" t="s">
        <v>470</v>
      </c>
      <c r="D235" s="65"/>
      <c r="E235" s="65"/>
      <c r="F235" s="65"/>
      <c r="G235" s="66"/>
    </row>
    <row r="236" spans="1:7" ht="15.75" thickBot="1" x14ac:dyDescent="0.3">
      <c r="A236" s="67" t="s">
        <v>471</v>
      </c>
      <c r="B236" s="68">
        <v>46204</v>
      </c>
      <c r="C236" s="72">
        <v>21860</v>
      </c>
      <c r="D236" s="70"/>
      <c r="E236" s="70"/>
      <c r="F236" s="70"/>
      <c r="G236" s="71"/>
    </row>
    <row r="237" spans="1:7" ht="15.75" thickBot="1" x14ac:dyDescent="0.3">
      <c r="A237" s="67" t="s">
        <v>426</v>
      </c>
      <c r="B237" s="68">
        <v>46227</v>
      </c>
      <c r="C237" s="72">
        <v>25760</v>
      </c>
      <c r="D237" s="70"/>
      <c r="E237" s="70"/>
      <c r="F237" s="70"/>
      <c r="G237" s="71"/>
    </row>
    <row r="238" spans="1:7" x14ac:dyDescent="0.25">
      <c r="A238" s="67"/>
      <c r="B238" s="68"/>
      <c r="C238" s="73">
        <f>C237-C236</f>
        <v>3900</v>
      </c>
      <c r="D238" s="70"/>
      <c r="E238" s="70"/>
      <c r="F238" s="70"/>
      <c r="G238" s="71"/>
    </row>
    <row r="239" spans="1:7" ht="15.75" thickBot="1" x14ac:dyDescent="0.3">
      <c r="A239" s="67"/>
      <c r="B239" s="70" t="s">
        <v>472</v>
      </c>
      <c r="C239" s="74" t="s">
        <v>473</v>
      </c>
      <c r="D239" s="70"/>
      <c r="E239" s="70"/>
      <c r="F239" s="70"/>
      <c r="G239" s="71"/>
    </row>
    <row r="240" spans="1:7" x14ac:dyDescent="0.25">
      <c r="A240" s="67"/>
      <c r="B240" s="70"/>
      <c r="C240" s="75">
        <f>C238*C239</f>
        <v>1560</v>
      </c>
      <c r="D240" s="70"/>
      <c r="E240" s="70"/>
      <c r="F240" s="70"/>
      <c r="G240" s="71"/>
    </row>
    <row r="241" spans="1:7" ht="15.75" thickBot="1" x14ac:dyDescent="0.3">
      <c r="A241" s="67"/>
      <c r="B241" s="70" t="s">
        <v>474</v>
      </c>
      <c r="C241" s="72">
        <f>C236</f>
        <v>21860</v>
      </c>
      <c r="D241" s="70"/>
      <c r="E241" s="70"/>
      <c r="F241" s="70"/>
      <c r="G241" s="71"/>
    </row>
    <row r="242" spans="1:7" x14ac:dyDescent="0.25">
      <c r="A242" s="67"/>
      <c r="B242" s="70"/>
      <c r="C242" s="81">
        <f>C240/C241*100</f>
        <v>7.1363220494053063</v>
      </c>
      <c r="D242" s="77" t="s">
        <v>551</v>
      </c>
      <c r="E242" s="70"/>
      <c r="F242" s="70"/>
      <c r="G242" s="71"/>
    </row>
    <row r="243" spans="1:7" x14ac:dyDescent="0.25">
      <c r="A243" s="67"/>
      <c r="B243" s="70"/>
      <c r="C243" s="70"/>
      <c r="D243" s="70"/>
      <c r="E243" s="70"/>
      <c r="F243" s="70"/>
      <c r="G243" s="71"/>
    </row>
    <row r="244" spans="1:7" ht="15.75" thickBot="1" x14ac:dyDescent="0.3">
      <c r="A244" s="78"/>
      <c r="B244" s="79"/>
      <c r="C244" s="79"/>
      <c r="D244" s="79"/>
      <c r="E244" s="79"/>
      <c r="F244" s="79"/>
      <c r="G244" s="80"/>
    </row>
    <row r="246" spans="1:7" ht="15.75" thickBot="1" x14ac:dyDescent="0.3"/>
    <row r="247" spans="1:7" ht="15.75" thickBot="1" x14ac:dyDescent="0.3">
      <c r="A247" s="121" t="s">
        <v>468</v>
      </c>
      <c r="B247" s="122"/>
      <c r="C247" s="122"/>
      <c r="D247" s="122"/>
      <c r="E247" s="122"/>
      <c r="F247" s="122"/>
      <c r="G247" s="123"/>
    </row>
    <row r="248" spans="1:7" x14ac:dyDescent="0.25">
      <c r="A248" s="64"/>
      <c r="B248" s="65" t="s">
        <v>469</v>
      </c>
      <c r="C248" s="65" t="s">
        <v>470</v>
      </c>
      <c r="D248" s="65"/>
      <c r="E248" s="65"/>
      <c r="F248" s="65"/>
      <c r="G248" s="66"/>
    </row>
    <row r="249" spans="1:7" ht="15.75" thickBot="1" x14ac:dyDescent="0.3">
      <c r="A249" s="67" t="s">
        <v>471</v>
      </c>
      <c r="B249" s="68">
        <v>46227</v>
      </c>
      <c r="C249" s="72">
        <v>25760</v>
      </c>
      <c r="D249" s="70"/>
      <c r="E249" s="70"/>
      <c r="F249" s="70"/>
      <c r="G249" s="71"/>
    </row>
    <row r="250" spans="1:7" ht="15.75" thickBot="1" x14ac:dyDescent="0.3">
      <c r="A250" s="67" t="s">
        <v>426</v>
      </c>
      <c r="B250" s="68">
        <v>46235</v>
      </c>
      <c r="C250" s="72">
        <v>27620</v>
      </c>
      <c r="D250" s="70"/>
      <c r="E250" s="70"/>
      <c r="F250" s="70"/>
      <c r="G250" s="71"/>
    </row>
    <row r="251" spans="1:7" x14ac:dyDescent="0.25">
      <c r="A251" s="67"/>
      <c r="B251" s="68"/>
      <c r="C251" s="73">
        <f>C250-C249</f>
        <v>1860</v>
      </c>
      <c r="D251" s="70"/>
      <c r="E251" s="70"/>
      <c r="F251" s="70"/>
      <c r="G251" s="71"/>
    </row>
    <row r="252" spans="1:7" ht="15.75" thickBot="1" x14ac:dyDescent="0.3">
      <c r="A252" s="67"/>
      <c r="B252" s="70" t="s">
        <v>472</v>
      </c>
      <c r="C252" s="74" t="s">
        <v>473</v>
      </c>
      <c r="D252" s="70"/>
      <c r="E252" s="70"/>
      <c r="F252" s="70"/>
      <c r="G252" s="71"/>
    </row>
    <row r="253" spans="1:7" x14ac:dyDescent="0.25">
      <c r="A253" s="67"/>
      <c r="B253" s="70"/>
      <c r="C253" s="75">
        <f>C251*C252</f>
        <v>744</v>
      </c>
      <c r="D253" s="70"/>
      <c r="E253" s="70"/>
      <c r="F253" s="70"/>
      <c r="G253" s="71"/>
    </row>
    <row r="254" spans="1:7" ht="15.75" thickBot="1" x14ac:dyDescent="0.3">
      <c r="A254" s="67"/>
      <c r="B254" s="70" t="s">
        <v>474</v>
      </c>
      <c r="C254" s="72">
        <f>C249</f>
        <v>25760</v>
      </c>
      <c r="D254" s="70"/>
      <c r="E254" s="70"/>
      <c r="F254" s="70"/>
      <c r="G254" s="71"/>
    </row>
    <row r="255" spans="1:7" x14ac:dyDescent="0.25">
      <c r="A255" s="67"/>
      <c r="B255" s="70"/>
      <c r="C255" s="81">
        <f>C253/C254*100</f>
        <v>2.8881987577639752</v>
      </c>
      <c r="D255" s="77" t="s">
        <v>552</v>
      </c>
      <c r="E255" s="70"/>
      <c r="F255" s="70"/>
      <c r="G255" s="71"/>
    </row>
    <row r="256" spans="1:7" x14ac:dyDescent="0.25">
      <c r="A256" s="67"/>
      <c r="B256" s="70"/>
      <c r="C256" s="70"/>
      <c r="D256" s="70"/>
      <c r="E256" s="70"/>
      <c r="F256" s="70"/>
      <c r="G256" s="71"/>
    </row>
    <row r="257" spans="1:7" ht="15.75" thickBot="1" x14ac:dyDescent="0.3">
      <c r="A257" s="78"/>
      <c r="B257" s="79"/>
      <c r="C257" s="79"/>
      <c r="D257" s="79"/>
      <c r="E257" s="79"/>
      <c r="F257" s="79"/>
      <c r="G257" s="80"/>
    </row>
  </sheetData>
  <mergeCells count="21">
    <mergeCell ref="A247:G247"/>
    <mergeCell ref="A170:G170"/>
    <mergeCell ref="A183:G183"/>
    <mergeCell ref="A234:G234"/>
    <mergeCell ref="A221:G221"/>
    <mergeCell ref="A208:G208"/>
    <mergeCell ref="A195:G195"/>
    <mergeCell ref="A61:G61"/>
    <mergeCell ref="A1:G1"/>
    <mergeCell ref="A13:G13"/>
    <mergeCell ref="A25:G25"/>
    <mergeCell ref="A37:G37"/>
    <mergeCell ref="A49:G49"/>
    <mergeCell ref="A109:G109"/>
    <mergeCell ref="A97:G97"/>
    <mergeCell ref="A85:G85"/>
    <mergeCell ref="A73:G73"/>
    <mergeCell ref="A157:G157"/>
    <mergeCell ref="A133:G133"/>
    <mergeCell ref="A145:G145"/>
    <mergeCell ref="A121:G1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0C8CE-A7A2-4AF0-A033-002977806643}">
  <dimension ref="A1:C22"/>
  <sheetViews>
    <sheetView workbookViewId="0">
      <selection activeCell="G36" sqref="G36"/>
    </sheetView>
  </sheetViews>
  <sheetFormatPr defaultRowHeight="15" x14ac:dyDescent="0.25"/>
  <cols>
    <col min="1" max="1" width="13.140625" bestFit="1" customWidth="1"/>
    <col min="2" max="2" width="10.5703125" bestFit="1" customWidth="1"/>
    <col min="3" max="3" width="13.42578125" bestFit="1" customWidth="1"/>
  </cols>
  <sheetData>
    <row r="1" spans="1:3" x14ac:dyDescent="0.25">
      <c r="A1" t="s">
        <v>554</v>
      </c>
      <c r="B1" t="s">
        <v>555</v>
      </c>
      <c r="C1" t="s">
        <v>200</v>
      </c>
    </row>
    <row r="2" spans="1:3" x14ac:dyDescent="0.25">
      <c r="A2" t="s">
        <v>557</v>
      </c>
      <c r="B2">
        <v>-3.8</v>
      </c>
      <c r="C2" t="s">
        <v>558</v>
      </c>
    </row>
    <row r="3" spans="1:3" x14ac:dyDescent="0.25">
      <c r="A3" t="s">
        <v>559</v>
      </c>
      <c r="B3">
        <v>4.68</v>
      </c>
      <c r="C3" t="s">
        <v>560</v>
      </c>
    </row>
    <row r="4" spans="1:3" x14ac:dyDescent="0.25">
      <c r="A4" t="s">
        <v>561</v>
      </c>
      <c r="B4">
        <v>7.8</v>
      </c>
      <c r="C4" t="s">
        <v>562</v>
      </c>
    </row>
    <row r="5" spans="1:3" x14ac:dyDescent="0.25">
      <c r="A5" t="s">
        <v>563</v>
      </c>
      <c r="B5">
        <v>12.51</v>
      </c>
      <c r="C5" t="s">
        <v>564</v>
      </c>
    </row>
    <row r="6" spans="1:3" x14ac:dyDescent="0.25">
      <c r="A6" t="s">
        <v>565</v>
      </c>
      <c r="B6">
        <v>-4.9800000000000004</v>
      </c>
      <c r="C6" t="s">
        <v>566</v>
      </c>
    </row>
    <row r="7" spans="1:3" x14ac:dyDescent="0.25">
      <c r="A7" t="s">
        <v>567</v>
      </c>
      <c r="B7">
        <v>10.5</v>
      </c>
      <c r="C7" t="s">
        <v>568</v>
      </c>
    </row>
    <row r="8" spans="1:3" x14ac:dyDescent="0.25">
      <c r="A8" t="s">
        <v>569</v>
      </c>
      <c r="B8">
        <v>7.5</v>
      </c>
      <c r="C8" t="s">
        <v>570</v>
      </c>
    </row>
    <row r="9" spans="1:3" x14ac:dyDescent="0.25">
      <c r="A9" t="s">
        <v>571</v>
      </c>
      <c r="B9">
        <v>-1.79</v>
      </c>
      <c r="C9" t="s">
        <v>572</v>
      </c>
    </row>
    <row r="10" spans="1:3" x14ac:dyDescent="0.25">
      <c r="A10" t="s">
        <v>573</v>
      </c>
      <c r="B10">
        <v>-2.59</v>
      </c>
      <c r="C10" t="s">
        <v>574</v>
      </c>
    </row>
    <row r="11" spans="1:3" x14ac:dyDescent="0.25">
      <c r="A11" t="s">
        <v>575</v>
      </c>
      <c r="B11">
        <v>6.07</v>
      </c>
      <c r="C11" t="s">
        <v>576</v>
      </c>
    </row>
    <row r="12" spans="1:3" x14ac:dyDescent="0.25">
      <c r="A12" t="s">
        <v>577</v>
      </c>
      <c r="B12">
        <v>3.88</v>
      </c>
      <c r="C12" t="s">
        <v>578</v>
      </c>
    </row>
    <row r="13" spans="1:3" x14ac:dyDescent="0.25">
      <c r="A13" t="s">
        <v>579</v>
      </c>
      <c r="B13">
        <v>-1.73</v>
      </c>
      <c r="C13" t="s">
        <v>580</v>
      </c>
    </row>
    <row r="14" spans="1:3" x14ac:dyDescent="0.25">
      <c r="A14" t="s">
        <v>581</v>
      </c>
      <c r="B14">
        <v>-9.23</v>
      </c>
      <c r="C14" t="s">
        <v>582</v>
      </c>
    </row>
    <row r="15" spans="1:3" x14ac:dyDescent="0.25">
      <c r="A15" t="s">
        <v>583</v>
      </c>
      <c r="B15">
        <v>-2.33</v>
      </c>
      <c r="C15" t="s">
        <v>584</v>
      </c>
    </row>
    <row r="16" spans="1:3" x14ac:dyDescent="0.25">
      <c r="A16" t="s">
        <v>585</v>
      </c>
      <c r="B16">
        <v>-4.1100000000000003</v>
      </c>
      <c r="C16" t="s">
        <v>586</v>
      </c>
    </row>
    <row r="17" spans="1:3" x14ac:dyDescent="0.25">
      <c r="A17" t="s">
        <v>587</v>
      </c>
      <c r="B17">
        <v>-1.67</v>
      </c>
      <c r="C17" t="s">
        <v>588</v>
      </c>
    </row>
    <row r="18" spans="1:3" x14ac:dyDescent="0.25">
      <c r="A18" t="s">
        <v>589</v>
      </c>
      <c r="B18">
        <v>2.2200000000000002</v>
      </c>
      <c r="C18" t="s">
        <v>590</v>
      </c>
    </row>
    <row r="19" spans="1:3" x14ac:dyDescent="0.25">
      <c r="A19" t="s">
        <v>591</v>
      </c>
      <c r="B19">
        <v>-6.59</v>
      </c>
      <c r="C19" t="s">
        <v>592</v>
      </c>
    </row>
    <row r="20" spans="1:3" x14ac:dyDescent="0.25">
      <c r="A20" t="s">
        <v>593</v>
      </c>
      <c r="B20">
        <v>-2.84</v>
      </c>
      <c r="C20" t="s">
        <v>594</v>
      </c>
    </row>
    <row r="21" spans="1:3" x14ac:dyDescent="0.25">
      <c r="A21" t="s">
        <v>595</v>
      </c>
      <c r="B21">
        <v>7.14</v>
      </c>
      <c r="C21" t="s">
        <v>596</v>
      </c>
    </row>
    <row r="22" spans="1:3" x14ac:dyDescent="0.25">
      <c r="A22" t="s">
        <v>597</v>
      </c>
      <c r="B22">
        <v>2.89</v>
      </c>
      <c r="C22" t="s">
        <v>598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A92D1-4B19-482E-B682-CF69B39D4D5A}">
  <sheetPr>
    <tabColor rgb="FFFFFF00"/>
  </sheetPr>
  <dimension ref="A1:AS88"/>
  <sheetViews>
    <sheetView showZeros="0" zoomScale="115" zoomScaleNormal="115" workbookViewId="0">
      <pane xSplit="1" ySplit="3" topLeftCell="B18" activePane="bottomRight" state="frozen"/>
      <selection activeCell="I251" sqref="I251"/>
      <selection pane="topRight" activeCell="I251" sqref="I251"/>
      <selection pane="bottomLeft" activeCell="I251" sqref="I251"/>
      <selection pane="bottomRight" activeCell="C50" sqref="C50"/>
    </sheetView>
  </sheetViews>
  <sheetFormatPr defaultRowHeight="15.75" x14ac:dyDescent="0.25"/>
  <cols>
    <col min="1" max="1" width="9.140625" style="2"/>
    <col min="2" max="2" width="12.28515625" style="3" bestFit="1" customWidth="1"/>
    <col min="3" max="3" width="45.42578125" style="3" bestFit="1" customWidth="1"/>
    <col min="4" max="4" width="45" style="3" bestFit="1" customWidth="1"/>
    <col min="5" max="5" width="11.85546875" style="3" bestFit="1" customWidth="1"/>
    <col min="6" max="35" width="13.7109375" style="4" customWidth="1"/>
    <col min="36" max="40" width="13.7109375" style="1" customWidth="1"/>
    <col min="41" max="45" width="13.7109375" style="4" customWidth="1"/>
    <col min="46" max="272" width="13.7109375" style="1" customWidth="1"/>
    <col min="273" max="16384" width="9.140625" style="1"/>
  </cols>
  <sheetData>
    <row r="1" spans="1:45" x14ac:dyDescent="0.25">
      <c r="A1" s="1"/>
      <c r="B1" s="1"/>
      <c r="C1" s="1"/>
      <c r="D1" s="1"/>
      <c r="E1" s="1"/>
      <c r="F1" s="113" t="s">
        <v>427</v>
      </c>
      <c r="G1" s="114"/>
      <c r="H1" s="114"/>
      <c r="I1" s="114"/>
      <c r="J1" s="114"/>
      <c r="K1" s="11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O1" s="1"/>
      <c r="AP1" s="1"/>
      <c r="AQ1" s="1"/>
      <c r="AR1" s="1"/>
      <c r="AS1" s="1"/>
    </row>
    <row r="2" spans="1:45" ht="47.25" x14ac:dyDescent="0.25">
      <c r="A2" s="115" t="s">
        <v>0</v>
      </c>
      <c r="B2" s="115" t="s">
        <v>599</v>
      </c>
      <c r="C2" s="115" t="s">
        <v>600</v>
      </c>
      <c r="D2" s="119" t="s">
        <v>639</v>
      </c>
      <c r="E2" s="119" t="s">
        <v>637</v>
      </c>
      <c r="F2" s="17" t="s">
        <v>2</v>
      </c>
      <c r="G2" s="24" t="s">
        <v>167</v>
      </c>
      <c r="H2" s="17" t="s">
        <v>3</v>
      </c>
      <c r="I2" s="17" t="s">
        <v>4</v>
      </c>
      <c r="J2" s="17" t="s">
        <v>5</v>
      </c>
      <c r="K2" s="17" t="s">
        <v>165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O2" s="1"/>
      <c r="AP2" s="1"/>
      <c r="AQ2" s="1"/>
      <c r="AR2" s="1"/>
      <c r="AS2" s="1"/>
    </row>
    <row r="3" spans="1:45" x14ac:dyDescent="0.25">
      <c r="A3" s="115"/>
      <c r="B3" s="115"/>
      <c r="C3" s="115"/>
      <c r="D3" s="120"/>
      <c r="E3" s="120"/>
      <c r="F3" s="5" t="s">
        <v>6</v>
      </c>
      <c r="G3" s="5" t="s">
        <v>7</v>
      </c>
      <c r="H3" s="5" t="s">
        <v>7</v>
      </c>
      <c r="I3" s="5" t="s">
        <v>7</v>
      </c>
      <c r="J3" s="5" t="s">
        <v>7</v>
      </c>
      <c r="K3" s="5" t="s">
        <v>6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O3" s="1"/>
      <c r="AP3" s="1"/>
      <c r="AQ3" s="1"/>
      <c r="AR3" s="1"/>
      <c r="AS3" s="1"/>
    </row>
    <row r="4" spans="1:45" x14ac:dyDescent="0.25">
      <c r="A4" s="6">
        <v>1</v>
      </c>
      <c r="B4" s="15" t="s">
        <v>27</v>
      </c>
      <c r="C4" s="15" t="s">
        <v>601</v>
      </c>
      <c r="D4" s="109"/>
      <c r="E4" s="109"/>
      <c r="F4" s="11">
        <v>0</v>
      </c>
      <c r="G4" s="11">
        <v>0</v>
      </c>
      <c r="H4" s="11">
        <v>438000</v>
      </c>
      <c r="I4" s="11">
        <v>352000</v>
      </c>
      <c r="J4" s="11">
        <v>302000</v>
      </c>
      <c r="K4" s="11">
        <v>522000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O4" s="1"/>
      <c r="AP4" s="1"/>
      <c r="AQ4" s="1"/>
      <c r="AR4" s="1"/>
      <c r="AS4" s="1"/>
    </row>
    <row r="5" spans="1:45" x14ac:dyDescent="0.25">
      <c r="A5" s="9">
        <f t="shared" ref="A5:A68" si="0">A4+1</f>
        <v>2</v>
      </c>
      <c r="B5" s="15" t="s">
        <v>27</v>
      </c>
      <c r="C5" s="15" t="s">
        <v>92</v>
      </c>
      <c r="D5" s="109"/>
      <c r="E5" s="109"/>
      <c r="F5" s="11">
        <v>0</v>
      </c>
      <c r="G5" s="11">
        <v>0</v>
      </c>
      <c r="H5" s="11">
        <v>533000</v>
      </c>
      <c r="I5" s="11">
        <v>483000</v>
      </c>
      <c r="J5" s="11">
        <v>452000</v>
      </c>
      <c r="K5" s="11">
        <v>684000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O5" s="1"/>
      <c r="AP5" s="1"/>
      <c r="AQ5" s="1"/>
      <c r="AR5" s="1"/>
      <c r="AS5" s="1"/>
    </row>
    <row r="6" spans="1:45" x14ac:dyDescent="0.25">
      <c r="A6" s="9">
        <f t="shared" si="0"/>
        <v>3</v>
      </c>
      <c r="B6" s="15" t="s">
        <v>27</v>
      </c>
      <c r="C6" s="15" t="s">
        <v>44</v>
      </c>
      <c r="D6" s="109"/>
      <c r="E6" s="109"/>
      <c r="F6" s="11">
        <v>0</v>
      </c>
      <c r="G6" s="11">
        <v>0</v>
      </c>
      <c r="H6" s="11">
        <v>468000</v>
      </c>
      <c r="I6" s="11">
        <v>438000</v>
      </c>
      <c r="J6" s="11">
        <v>372000</v>
      </c>
      <c r="K6" s="11">
        <v>583000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O6" s="1"/>
      <c r="AP6" s="1"/>
      <c r="AQ6" s="1"/>
      <c r="AR6" s="1"/>
      <c r="AS6" s="1"/>
    </row>
    <row r="7" spans="1:45" x14ac:dyDescent="0.25">
      <c r="A7" s="106">
        <f t="shared" si="0"/>
        <v>4</v>
      </c>
      <c r="B7" s="136" t="s">
        <v>27</v>
      </c>
      <c r="C7" s="136" t="s">
        <v>602</v>
      </c>
      <c r="D7" s="109"/>
      <c r="E7" s="109"/>
      <c r="F7" s="11">
        <v>0</v>
      </c>
      <c r="G7" s="11">
        <v>0</v>
      </c>
      <c r="H7" s="11">
        <v>1206000</v>
      </c>
      <c r="I7" s="11">
        <v>1156000</v>
      </c>
      <c r="J7" s="11">
        <v>1091000</v>
      </c>
      <c r="K7" s="1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O7" s="1"/>
      <c r="AP7" s="1"/>
      <c r="AQ7" s="1"/>
      <c r="AR7" s="1"/>
      <c r="AS7" s="1"/>
    </row>
    <row r="8" spans="1:45" x14ac:dyDescent="0.25">
      <c r="A8" s="9">
        <f t="shared" si="0"/>
        <v>5</v>
      </c>
      <c r="B8" s="15" t="s">
        <v>27</v>
      </c>
      <c r="C8" s="15" t="s">
        <v>603</v>
      </c>
      <c r="D8" s="109"/>
      <c r="E8" s="109"/>
      <c r="F8" s="11">
        <v>0</v>
      </c>
      <c r="G8" s="11">
        <v>0</v>
      </c>
      <c r="H8" s="11">
        <v>483000</v>
      </c>
      <c r="I8" s="11">
        <v>422000</v>
      </c>
      <c r="J8" s="11">
        <v>402000</v>
      </c>
      <c r="K8" s="11">
        <v>623000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O8" s="1"/>
      <c r="AP8" s="1"/>
      <c r="AQ8" s="1"/>
      <c r="AR8" s="1"/>
      <c r="AS8" s="1"/>
    </row>
    <row r="9" spans="1:45" x14ac:dyDescent="0.25">
      <c r="A9" s="9">
        <f t="shared" si="0"/>
        <v>6</v>
      </c>
      <c r="B9" s="15" t="s">
        <v>32</v>
      </c>
      <c r="C9" s="15" t="s">
        <v>601</v>
      </c>
      <c r="D9" s="109"/>
      <c r="E9" s="109"/>
      <c r="F9" s="11">
        <v>0</v>
      </c>
      <c r="G9" s="11">
        <v>0</v>
      </c>
      <c r="H9" s="11">
        <v>563000</v>
      </c>
      <c r="I9" s="11">
        <v>522000</v>
      </c>
      <c r="J9" s="11">
        <v>443000</v>
      </c>
      <c r="K9" s="11">
        <v>723000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O9" s="1"/>
      <c r="AP9" s="1"/>
      <c r="AQ9" s="1"/>
      <c r="AR9" s="1"/>
      <c r="AS9" s="1"/>
    </row>
    <row r="10" spans="1:45" x14ac:dyDescent="0.25">
      <c r="A10" s="9">
        <f>A9+1</f>
        <v>7</v>
      </c>
      <c r="B10" s="15" t="s">
        <v>32</v>
      </c>
      <c r="C10" s="15" t="s">
        <v>604</v>
      </c>
      <c r="D10" s="109"/>
      <c r="E10" s="109"/>
      <c r="F10" s="11">
        <v>0</v>
      </c>
      <c r="G10" s="11">
        <v>0</v>
      </c>
      <c r="H10" s="11">
        <v>543000</v>
      </c>
      <c r="I10" s="11">
        <v>0</v>
      </c>
      <c r="J10" s="11">
        <v>422000</v>
      </c>
      <c r="K10" s="11">
        <v>653000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O10" s="1"/>
      <c r="AP10" s="1"/>
      <c r="AQ10" s="1"/>
      <c r="AR10" s="1"/>
      <c r="AS10" s="1"/>
    </row>
    <row r="11" spans="1:45" x14ac:dyDescent="0.25">
      <c r="A11" s="9">
        <f t="shared" si="0"/>
        <v>8</v>
      </c>
      <c r="B11" s="15" t="s">
        <v>32</v>
      </c>
      <c r="C11" s="15" t="s">
        <v>62</v>
      </c>
      <c r="D11" s="109"/>
      <c r="E11" s="109"/>
      <c r="F11" s="11">
        <v>0</v>
      </c>
      <c r="G11" s="11">
        <v>0</v>
      </c>
      <c r="H11" s="11">
        <v>603000</v>
      </c>
      <c r="I11" s="11">
        <v>563000</v>
      </c>
      <c r="J11" s="11">
        <v>503000</v>
      </c>
      <c r="K11" s="11">
        <v>754000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O11" s="1"/>
      <c r="AP11" s="1"/>
      <c r="AQ11" s="1"/>
      <c r="AR11" s="1"/>
      <c r="AS11" s="1"/>
    </row>
    <row r="12" spans="1:45" x14ac:dyDescent="0.25">
      <c r="A12" s="9">
        <f t="shared" si="0"/>
        <v>9</v>
      </c>
      <c r="B12" s="15" t="s">
        <v>20</v>
      </c>
      <c r="C12" s="15" t="s">
        <v>601</v>
      </c>
      <c r="D12" s="109"/>
      <c r="E12" s="109"/>
      <c r="F12" s="11">
        <v>0</v>
      </c>
      <c r="G12" s="11">
        <v>0</v>
      </c>
      <c r="H12" s="11">
        <v>372000</v>
      </c>
      <c r="I12" s="11">
        <v>342000</v>
      </c>
      <c r="J12" s="11">
        <v>302000</v>
      </c>
      <c r="K12" s="11">
        <v>483000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O12" s="1"/>
      <c r="AP12" s="1"/>
      <c r="AQ12" s="1"/>
      <c r="AR12" s="1"/>
      <c r="AS12" s="1"/>
    </row>
    <row r="13" spans="1:45" x14ac:dyDescent="0.25">
      <c r="A13" s="9">
        <f t="shared" si="0"/>
        <v>10</v>
      </c>
      <c r="B13" s="15" t="s">
        <v>20</v>
      </c>
      <c r="C13" s="15" t="s">
        <v>605</v>
      </c>
      <c r="D13" s="109"/>
      <c r="E13" s="109"/>
      <c r="F13" s="11">
        <v>0</v>
      </c>
      <c r="G13" s="11">
        <v>0</v>
      </c>
      <c r="H13" s="11">
        <v>402000</v>
      </c>
      <c r="I13" s="11">
        <v>372000</v>
      </c>
      <c r="J13" s="11">
        <v>352000</v>
      </c>
      <c r="K13" s="11">
        <v>553000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O13" s="1"/>
      <c r="AP13" s="1"/>
      <c r="AQ13" s="1"/>
      <c r="AR13" s="1"/>
      <c r="AS13" s="1"/>
    </row>
    <row r="14" spans="1:45" x14ac:dyDescent="0.25">
      <c r="A14" s="9">
        <f t="shared" si="0"/>
        <v>11</v>
      </c>
      <c r="B14" s="15" t="s">
        <v>20</v>
      </c>
      <c r="C14" s="15" t="s">
        <v>606</v>
      </c>
      <c r="D14" s="109"/>
      <c r="E14" s="109"/>
      <c r="F14" s="11">
        <v>0</v>
      </c>
      <c r="G14" s="11">
        <v>0</v>
      </c>
      <c r="H14" s="11">
        <v>463000</v>
      </c>
      <c r="I14" s="11">
        <v>432000</v>
      </c>
      <c r="J14" s="11">
        <v>382000</v>
      </c>
      <c r="K14" s="11">
        <v>543000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O14" s="1"/>
      <c r="AP14" s="1"/>
      <c r="AQ14" s="1"/>
      <c r="AR14" s="1"/>
      <c r="AS14" s="1"/>
    </row>
    <row r="15" spans="1:45" x14ac:dyDescent="0.25">
      <c r="A15" s="9">
        <f t="shared" si="0"/>
        <v>12</v>
      </c>
      <c r="B15" s="15" t="s">
        <v>20</v>
      </c>
      <c r="C15" s="15" t="s">
        <v>607</v>
      </c>
      <c r="D15" s="109"/>
      <c r="E15" s="109"/>
      <c r="F15" s="11">
        <v>0</v>
      </c>
      <c r="G15" s="11">
        <v>0</v>
      </c>
      <c r="H15" s="11">
        <v>443000</v>
      </c>
      <c r="I15" s="11">
        <v>382000</v>
      </c>
      <c r="J15" s="11">
        <v>321000</v>
      </c>
      <c r="K15" s="11">
        <v>553000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O15" s="1"/>
      <c r="AP15" s="1"/>
      <c r="AQ15" s="1"/>
      <c r="AR15" s="1"/>
      <c r="AS15" s="1"/>
    </row>
    <row r="16" spans="1:45" ht="31.5" x14ac:dyDescent="0.25">
      <c r="A16" s="9">
        <f t="shared" si="0"/>
        <v>13</v>
      </c>
      <c r="B16" s="15" t="s">
        <v>20</v>
      </c>
      <c r="C16" s="15" t="s">
        <v>608</v>
      </c>
      <c r="D16" s="109"/>
      <c r="E16" s="109"/>
      <c r="F16" s="11">
        <v>0</v>
      </c>
      <c r="G16" s="11">
        <v>0</v>
      </c>
      <c r="H16" s="11">
        <v>402000</v>
      </c>
      <c r="I16" s="11">
        <v>372000</v>
      </c>
      <c r="J16" s="11">
        <v>355000</v>
      </c>
      <c r="K16" s="11">
        <v>493000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O16" s="1"/>
      <c r="AP16" s="1"/>
      <c r="AQ16" s="1"/>
      <c r="AR16" s="1"/>
      <c r="AS16" s="1"/>
    </row>
    <row r="17" spans="1:45" x14ac:dyDescent="0.25">
      <c r="A17" s="9">
        <f t="shared" si="0"/>
        <v>14</v>
      </c>
      <c r="B17" s="112" t="s">
        <v>15</v>
      </c>
      <c r="C17" s="15" t="s">
        <v>601</v>
      </c>
      <c r="D17" s="109"/>
      <c r="E17" s="109"/>
      <c r="F17" s="11">
        <v>0</v>
      </c>
      <c r="G17" s="11">
        <v>0</v>
      </c>
      <c r="H17" s="11">
        <v>1307000</v>
      </c>
      <c r="I17" s="11">
        <v>1256000</v>
      </c>
      <c r="J17" s="11">
        <v>0</v>
      </c>
      <c r="K17" s="1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O17" s="1"/>
      <c r="AP17" s="1"/>
      <c r="AQ17" s="1"/>
      <c r="AR17" s="1"/>
      <c r="AS17" s="1"/>
    </row>
    <row r="18" spans="1:45" ht="31.5" x14ac:dyDescent="0.25">
      <c r="A18" s="9">
        <f t="shared" si="0"/>
        <v>15</v>
      </c>
      <c r="B18" s="112" t="s">
        <v>15</v>
      </c>
      <c r="C18" s="15" t="s">
        <v>609</v>
      </c>
      <c r="D18" s="109"/>
      <c r="E18" s="109"/>
      <c r="F18" s="11">
        <v>0</v>
      </c>
      <c r="G18" s="11">
        <v>0</v>
      </c>
      <c r="H18" s="11">
        <v>1287000</v>
      </c>
      <c r="I18" s="11">
        <v>1277000</v>
      </c>
      <c r="J18" s="11">
        <v>0</v>
      </c>
      <c r="K18" s="1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O18" s="1"/>
      <c r="AP18" s="1"/>
      <c r="AQ18" s="1"/>
      <c r="AR18" s="1"/>
      <c r="AS18" s="1"/>
    </row>
    <row r="19" spans="1:45" x14ac:dyDescent="0.25">
      <c r="A19" s="9">
        <f t="shared" si="0"/>
        <v>16</v>
      </c>
      <c r="B19" s="112" t="s">
        <v>120</v>
      </c>
      <c r="C19" s="15" t="s">
        <v>601</v>
      </c>
      <c r="D19" s="109"/>
      <c r="E19" s="109"/>
      <c r="F19" s="11">
        <v>0</v>
      </c>
      <c r="G19" s="11">
        <v>0</v>
      </c>
      <c r="H19" s="11">
        <v>804000</v>
      </c>
      <c r="I19" s="11">
        <v>784000</v>
      </c>
      <c r="J19" s="11">
        <v>0</v>
      </c>
      <c r="K19" s="1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O19" s="1"/>
      <c r="AP19" s="1"/>
      <c r="AQ19" s="1"/>
      <c r="AR19" s="1"/>
      <c r="AS19" s="1"/>
    </row>
    <row r="20" spans="1:45" x14ac:dyDescent="0.25">
      <c r="A20" s="9">
        <f t="shared" si="0"/>
        <v>17</v>
      </c>
      <c r="B20" s="112" t="s">
        <v>120</v>
      </c>
      <c r="C20" s="15" t="s">
        <v>66</v>
      </c>
      <c r="D20" s="109"/>
      <c r="E20" s="109"/>
      <c r="F20" s="11">
        <v>0</v>
      </c>
      <c r="G20" s="11">
        <v>0</v>
      </c>
      <c r="H20" s="11">
        <v>854000</v>
      </c>
      <c r="I20" s="11">
        <v>824000</v>
      </c>
      <c r="J20" s="11">
        <v>0</v>
      </c>
      <c r="K20" s="1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O20" s="1"/>
      <c r="AP20" s="1"/>
      <c r="AQ20" s="1"/>
      <c r="AR20" s="1"/>
      <c r="AS20" s="1"/>
    </row>
    <row r="21" spans="1:45" x14ac:dyDescent="0.25">
      <c r="A21" s="9">
        <f t="shared" si="0"/>
        <v>18</v>
      </c>
      <c r="B21" s="112" t="s">
        <v>120</v>
      </c>
      <c r="C21" s="15" t="s">
        <v>610</v>
      </c>
      <c r="D21" s="109"/>
      <c r="E21" s="109"/>
      <c r="F21" s="11">
        <v>0</v>
      </c>
      <c r="G21" s="11">
        <v>0</v>
      </c>
      <c r="H21" s="11">
        <v>905000</v>
      </c>
      <c r="I21" s="11">
        <v>885000</v>
      </c>
      <c r="J21" s="11">
        <v>0</v>
      </c>
      <c r="K21" s="1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O21" s="1"/>
      <c r="AP21" s="1"/>
      <c r="AQ21" s="1"/>
      <c r="AR21" s="1"/>
      <c r="AS21" s="1"/>
    </row>
    <row r="22" spans="1:45" ht="31.5" x14ac:dyDescent="0.25">
      <c r="A22" s="9">
        <f t="shared" si="0"/>
        <v>19</v>
      </c>
      <c r="B22" s="15" t="s">
        <v>69</v>
      </c>
      <c r="C22" s="15" t="s">
        <v>611</v>
      </c>
      <c r="D22" s="109"/>
      <c r="E22" s="109"/>
      <c r="F22" s="11">
        <v>1709000</v>
      </c>
      <c r="G22" s="11">
        <v>0</v>
      </c>
      <c r="H22" s="11">
        <v>337000</v>
      </c>
      <c r="I22" s="11">
        <v>276000</v>
      </c>
      <c r="J22" s="11">
        <v>0</v>
      </c>
      <c r="K22" s="11">
        <v>412000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O22" s="1"/>
      <c r="AP22" s="1"/>
      <c r="AQ22" s="1"/>
      <c r="AR22" s="1"/>
      <c r="AS22" s="1"/>
    </row>
    <row r="23" spans="1:45" ht="31.5" x14ac:dyDescent="0.25">
      <c r="A23" s="9">
        <f t="shared" si="0"/>
        <v>20</v>
      </c>
      <c r="B23" s="15" t="s">
        <v>69</v>
      </c>
      <c r="C23" s="15" t="s">
        <v>612</v>
      </c>
      <c r="D23" s="109"/>
      <c r="E23" s="109"/>
      <c r="F23" s="11">
        <v>0</v>
      </c>
      <c r="G23" s="11">
        <v>0</v>
      </c>
      <c r="H23" s="11">
        <v>452000</v>
      </c>
      <c r="I23" s="11">
        <v>402000</v>
      </c>
      <c r="J23" s="11">
        <v>0</v>
      </c>
      <c r="K23" s="11">
        <v>553000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O23" s="1"/>
      <c r="AP23" s="1"/>
      <c r="AQ23" s="1"/>
      <c r="AR23" s="1"/>
      <c r="AS23" s="1"/>
    </row>
    <row r="24" spans="1:45" x14ac:dyDescent="0.25">
      <c r="A24" s="9">
        <f t="shared" si="0"/>
        <v>21</v>
      </c>
      <c r="B24" s="15" t="s">
        <v>69</v>
      </c>
      <c r="C24" s="15" t="s">
        <v>613</v>
      </c>
      <c r="D24" s="109"/>
      <c r="E24" s="109"/>
      <c r="F24" s="11">
        <v>2011000</v>
      </c>
      <c r="G24" s="11">
        <v>0</v>
      </c>
      <c r="H24" s="11">
        <v>377000</v>
      </c>
      <c r="I24" s="11">
        <v>362000</v>
      </c>
      <c r="J24" s="11">
        <v>342000</v>
      </c>
      <c r="K24" s="11">
        <v>483000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O24" s="1"/>
      <c r="AP24" s="1"/>
      <c r="AQ24" s="1"/>
      <c r="AR24" s="1"/>
      <c r="AS24" s="1"/>
    </row>
    <row r="25" spans="1:45" ht="47.25" x14ac:dyDescent="0.25">
      <c r="A25" s="9">
        <f t="shared" si="0"/>
        <v>22</v>
      </c>
      <c r="B25" s="15" t="s">
        <v>69</v>
      </c>
      <c r="C25" s="15" t="s">
        <v>614</v>
      </c>
      <c r="D25" s="109"/>
      <c r="E25" s="109"/>
      <c r="F25" s="11">
        <v>1156000</v>
      </c>
      <c r="G25" s="11">
        <v>0</v>
      </c>
      <c r="H25" s="11">
        <v>282000</v>
      </c>
      <c r="I25" s="11">
        <v>251000</v>
      </c>
      <c r="J25" s="11">
        <v>0</v>
      </c>
      <c r="K25" s="11">
        <v>302000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O25" s="1"/>
      <c r="AP25" s="1"/>
      <c r="AQ25" s="1"/>
      <c r="AR25" s="1"/>
      <c r="AS25" s="1"/>
    </row>
    <row r="26" spans="1:45" x14ac:dyDescent="0.25">
      <c r="A26" s="9">
        <f t="shared" si="0"/>
        <v>23</v>
      </c>
      <c r="B26" s="15" t="s">
        <v>79</v>
      </c>
      <c r="C26" s="15" t="s">
        <v>615</v>
      </c>
      <c r="D26" s="109"/>
      <c r="E26" s="109"/>
      <c r="F26" s="11">
        <v>0</v>
      </c>
      <c r="G26" s="11">
        <v>0</v>
      </c>
      <c r="H26" s="11">
        <v>402000</v>
      </c>
      <c r="I26" s="11">
        <v>362000</v>
      </c>
      <c r="J26" s="11">
        <v>342000</v>
      </c>
      <c r="K26" s="11">
        <v>503000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O26" s="1"/>
      <c r="AP26" s="1"/>
      <c r="AQ26" s="1"/>
      <c r="AR26" s="1"/>
      <c r="AS26" s="1"/>
    </row>
    <row r="27" spans="1:45" x14ac:dyDescent="0.25">
      <c r="A27" s="9">
        <f t="shared" si="0"/>
        <v>24</v>
      </c>
      <c r="B27" s="15" t="s">
        <v>79</v>
      </c>
      <c r="C27" s="15" t="s">
        <v>616</v>
      </c>
      <c r="D27" s="109"/>
      <c r="E27" s="109"/>
      <c r="F27" s="11">
        <v>0</v>
      </c>
      <c r="G27" s="11">
        <v>0</v>
      </c>
      <c r="H27" s="11">
        <v>372000</v>
      </c>
      <c r="I27" s="11">
        <v>362000</v>
      </c>
      <c r="J27" s="11">
        <v>352000</v>
      </c>
      <c r="K27" s="11">
        <v>472000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O27" s="1"/>
      <c r="AP27" s="1"/>
      <c r="AQ27" s="1"/>
      <c r="AR27" s="1"/>
      <c r="AS27" s="1"/>
    </row>
    <row r="28" spans="1:45" x14ac:dyDescent="0.25">
      <c r="A28" s="9">
        <f t="shared" si="0"/>
        <v>25</v>
      </c>
      <c r="B28" s="15" t="s">
        <v>79</v>
      </c>
      <c r="C28" s="15" t="s">
        <v>617</v>
      </c>
      <c r="D28" s="109"/>
      <c r="E28" s="109"/>
      <c r="F28" s="11">
        <v>0</v>
      </c>
      <c r="G28" s="11">
        <v>0</v>
      </c>
      <c r="H28" s="11">
        <v>377000</v>
      </c>
      <c r="I28" s="11">
        <v>332000</v>
      </c>
      <c r="J28" s="11">
        <v>302000</v>
      </c>
      <c r="K28" s="11">
        <v>472000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O28" s="1"/>
      <c r="AP28" s="1"/>
      <c r="AQ28" s="1"/>
      <c r="AR28" s="1"/>
      <c r="AS28" s="1"/>
    </row>
    <row r="29" spans="1:45" ht="31.5" x14ac:dyDescent="0.25">
      <c r="A29" s="9">
        <f t="shared" si="0"/>
        <v>26</v>
      </c>
      <c r="B29" s="15" t="s">
        <v>79</v>
      </c>
      <c r="C29" s="15" t="s">
        <v>618</v>
      </c>
      <c r="D29" s="109"/>
      <c r="E29" s="109"/>
      <c r="F29" s="11">
        <v>0</v>
      </c>
      <c r="G29" s="11">
        <v>0</v>
      </c>
      <c r="H29" s="11">
        <v>362000</v>
      </c>
      <c r="I29" s="11">
        <v>352000</v>
      </c>
      <c r="J29" s="11">
        <v>342000</v>
      </c>
      <c r="K29" s="11">
        <v>463000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O29" s="1"/>
      <c r="AP29" s="1"/>
      <c r="AQ29" s="1"/>
      <c r="AR29" s="1"/>
      <c r="AS29" s="1"/>
    </row>
    <row r="30" spans="1:45" x14ac:dyDescent="0.25">
      <c r="A30" s="9">
        <f t="shared" si="0"/>
        <v>27</v>
      </c>
      <c r="B30" s="15" t="s">
        <v>79</v>
      </c>
      <c r="C30" s="15" t="s">
        <v>619</v>
      </c>
      <c r="D30" s="109"/>
      <c r="E30" s="109"/>
      <c r="F30" s="11">
        <v>0</v>
      </c>
      <c r="G30" s="11">
        <v>0</v>
      </c>
      <c r="H30" s="11">
        <v>352000</v>
      </c>
      <c r="I30" s="11">
        <v>312000</v>
      </c>
      <c r="J30" s="11">
        <v>302000</v>
      </c>
      <c r="K30" s="11">
        <v>412000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O30" s="1"/>
      <c r="AP30" s="1"/>
      <c r="AQ30" s="1"/>
      <c r="AR30" s="1"/>
      <c r="AS30" s="1"/>
    </row>
    <row r="31" spans="1:45" x14ac:dyDescent="0.25">
      <c r="A31" s="9">
        <f t="shared" si="0"/>
        <v>28</v>
      </c>
      <c r="B31" s="112" t="s">
        <v>83</v>
      </c>
      <c r="C31" s="15" t="s">
        <v>84</v>
      </c>
      <c r="D31" s="109"/>
      <c r="E31" s="109"/>
      <c r="F31" s="11">
        <v>0</v>
      </c>
      <c r="G31" s="11">
        <v>0</v>
      </c>
      <c r="H31" s="11">
        <v>1106000</v>
      </c>
      <c r="I31" s="11">
        <v>1055000</v>
      </c>
      <c r="J31" s="11">
        <v>1046000</v>
      </c>
      <c r="K31" s="1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O31" s="1"/>
      <c r="AP31" s="1"/>
      <c r="AQ31" s="1"/>
      <c r="AR31" s="1"/>
      <c r="AS31" s="1"/>
    </row>
    <row r="32" spans="1:45" ht="31.5" x14ac:dyDescent="0.25">
      <c r="A32" s="9">
        <f t="shared" si="0"/>
        <v>29</v>
      </c>
      <c r="B32" s="112" t="s">
        <v>83</v>
      </c>
      <c r="C32" s="15" t="s">
        <v>620</v>
      </c>
      <c r="D32" s="109"/>
      <c r="E32" s="109"/>
      <c r="F32" s="11">
        <v>0</v>
      </c>
      <c r="G32" s="11">
        <v>0</v>
      </c>
      <c r="H32" s="11">
        <v>1055000</v>
      </c>
      <c r="I32" s="11">
        <v>1005000</v>
      </c>
      <c r="J32" s="11">
        <v>0</v>
      </c>
      <c r="K32" s="1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O32" s="1"/>
      <c r="AP32" s="1"/>
      <c r="AQ32" s="1"/>
      <c r="AR32" s="1"/>
      <c r="AS32" s="1"/>
    </row>
    <row r="33" spans="1:45" x14ac:dyDescent="0.25">
      <c r="A33" s="9">
        <f t="shared" si="0"/>
        <v>30</v>
      </c>
      <c r="B33" s="112" t="s">
        <v>83</v>
      </c>
      <c r="C33" s="15" t="s">
        <v>621</v>
      </c>
      <c r="D33" s="109"/>
      <c r="E33" s="109"/>
      <c r="F33" s="11">
        <v>0</v>
      </c>
      <c r="G33" s="11">
        <v>0</v>
      </c>
      <c r="H33" s="11">
        <v>1156000</v>
      </c>
      <c r="I33" s="11">
        <v>1127000</v>
      </c>
      <c r="J33" s="11">
        <v>0</v>
      </c>
      <c r="K33" s="1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O33" s="1"/>
      <c r="AP33" s="1"/>
      <c r="AQ33" s="1"/>
      <c r="AR33" s="1"/>
      <c r="AS33" s="1"/>
    </row>
    <row r="34" spans="1:45" x14ac:dyDescent="0.25">
      <c r="A34" s="9">
        <f t="shared" si="0"/>
        <v>31</v>
      </c>
      <c r="B34" s="112" t="s">
        <v>83</v>
      </c>
      <c r="C34" s="15" t="s">
        <v>622</v>
      </c>
      <c r="D34" s="109"/>
      <c r="E34" s="109"/>
      <c r="F34" s="11">
        <v>0</v>
      </c>
      <c r="G34" s="11">
        <v>0</v>
      </c>
      <c r="H34" s="11">
        <v>955000</v>
      </c>
      <c r="I34" s="11">
        <v>945000</v>
      </c>
      <c r="J34" s="11">
        <v>935000</v>
      </c>
      <c r="K34" s="1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O34" s="1"/>
      <c r="AP34" s="1"/>
      <c r="AQ34" s="1"/>
      <c r="AR34" s="1"/>
      <c r="AS34" s="1"/>
    </row>
    <row r="35" spans="1:45" x14ac:dyDescent="0.25">
      <c r="A35" s="9">
        <f t="shared" si="0"/>
        <v>32</v>
      </c>
      <c r="B35" s="112" t="s">
        <v>83</v>
      </c>
      <c r="C35" s="15" t="s">
        <v>649</v>
      </c>
      <c r="D35" s="109"/>
      <c r="E35" s="109"/>
      <c r="F35" s="11">
        <v>0</v>
      </c>
      <c r="G35" s="11">
        <v>0</v>
      </c>
      <c r="H35" s="11">
        <v>1005000</v>
      </c>
      <c r="I35" s="11">
        <v>996000</v>
      </c>
      <c r="J35" s="11">
        <v>0</v>
      </c>
      <c r="K35" s="1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O35" s="1"/>
      <c r="AP35" s="1"/>
      <c r="AQ35" s="1"/>
      <c r="AR35" s="1"/>
      <c r="AS35" s="1"/>
    </row>
    <row r="36" spans="1:45" ht="47.25" x14ac:dyDescent="0.25">
      <c r="A36" s="9">
        <f t="shared" si="0"/>
        <v>33</v>
      </c>
      <c r="B36" s="15" t="s">
        <v>638</v>
      </c>
      <c r="C36" s="15" t="s">
        <v>623</v>
      </c>
      <c r="D36" s="109"/>
      <c r="E36" s="109"/>
      <c r="F36" s="11">
        <v>1106000</v>
      </c>
      <c r="G36" s="11">
        <v>0</v>
      </c>
      <c r="H36" s="11">
        <v>282000</v>
      </c>
      <c r="I36" s="11">
        <v>262000</v>
      </c>
      <c r="J36" s="11">
        <v>0</v>
      </c>
      <c r="K36" s="11">
        <v>352000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O36" s="1"/>
      <c r="AP36" s="1"/>
      <c r="AQ36" s="1"/>
      <c r="AR36" s="1"/>
      <c r="AS36" s="1"/>
    </row>
    <row r="37" spans="1:45" ht="31.5" x14ac:dyDescent="0.25">
      <c r="A37" s="9">
        <f t="shared" si="0"/>
        <v>34</v>
      </c>
      <c r="B37" s="15" t="s">
        <v>638</v>
      </c>
      <c r="C37" s="15" t="s">
        <v>624</v>
      </c>
      <c r="D37" s="109"/>
      <c r="E37" s="109"/>
      <c r="F37" s="11">
        <v>0</v>
      </c>
      <c r="G37" s="11">
        <v>0</v>
      </c>
      <c r="H37" s="11">
        <v>342000</v>
      </c>
      <c r="I37" s="11">
        <v>332000</v>
      </c>
      <c r="J37" s="11">
        <v>0</v>
      </c>
      <c r="K37" s="11">
        <v>392000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O37" s="1"/>
      <c r="AP37" s="1"/>
      <c r="AQ37" s="1"/>
      <c r="AR37" s="1"/>
      <c r="AS37" s="1"/>
    </row>
    <row r="38" spans="1:45" x14ac:dyDescent="0.25">
      <c r="A38" s="9">
        <f t="shared" si="0"/>
        <v>35</v>
      </c>
      <c r="B38" s="15" t="s">
        <v>638</v>
      </c>
      <c r="C38" s="15" t="s">
        <v>650</v>
      </c>
      <c r="D38" s="109"/>
      <c r="E38" s="109"/>
      <c r="F38" s="11">
        <v>1608000</v>
      </c>
      <c r="G38" s="11">
        <v>0</v>
      </c>
      <c r="H38" s="11">
        <v>342000</v>
      </c>
      <c r="I38" s="11">
        <v>312000</v>
      </c>
      <c r="J38" s="11">
        <v>0</v>
      </c>
      <c r="K38" s="11">
        <v>412000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O38" s="1"/>
      <c r="AP38" s="1"/>
      <c r="AQ38" s="1"/>
      <c r="AR38" s="1"/>
      <c r="AS38" s="1"/>
    </row>
    <row r="39" spans="1:45" ht="47.25" x14ac:dyDescent="0.25">
      <c r="A39" s="9">
        <f t="shared" si="0"/>
        <v>36</v>
      </c>
      <c r="B39" s="15" t="s">
        <v>638</v>
      </c>
      <c r="C39" s="15" t="s">
        <v>651</v>
      </c>
      <c r="D39" s="109"/>
      <c r="E39" s="109"/>
      <c r="F39" s="11">
        <v>1328000</v>
      </c>
      <c r="G39" s="11">
        <v>0</v>
      </c>
      <c r="H39" s="11">
        <v>321000</v>
      </c>
      <c r="I39" s="11">
        <v>302000</v>
      </c>
      <c r="J39" s="11">
        <v>0</v>
      </c>
      <c r="K39" s="11">
        <v>392000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O39" s="1"/>
      <c r="AP39" s="1"/>
      <c r="AQ39" s="1"/>
      <c r="AR39" s="1"/>
      <c r="AS39" s="1"/>
    </row>
    <row r="40" spans="1:45" x14ac:dyDescent="0.25">
      <c r="A40" s="106"/>
      <c r="B40" s="136" t="s">
        <v>638</v>
      </c>
      <c r="C40" s="136"/>
      <c r="D40" s="136" t="s">
        <v>625</v>
      </c>
      <c r="E40" s="109"/>
      <c r="F40" s="11">
        <v>1328000</v>
      </c>
      <c r="G40" s="11"/>
      <c r="H40" s="11">
        <v>321000</v>
      </c>
      <c r="I40" s="11">
        <v>302000</v>
      </c>
      <c r="J40" s="11"/>
      <c r="K40" s="11">
        <v>392000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O40" s="1"/>
      <c r="AP40" s="1"/>
      <c r="AQ40" s="1"/>
      <c r="AR40" s="1"/>
      <c r="AS40" s="1"/>
    </row>
    <row r="41" spans="1:45" ht="31.5" x14ac:dyDescent="0.25">
      <c r="A41" s="9">
        <f>A39+1</f>
        <v>37</v>
      </c>
      <c r="B41" s="15" t="s">
        <v>638</v>
      </c>
      <c r="C41" s="15" t="s">
        <v>626</v>
      </c>
      <c r="D41" s="109"/>
      <c r="E41" s="109"/>
      <c r="F41" s="11">
        <v>1106000</v>
      </c>
      <c r="G41" s="11">
        <v>0</v>
      </c>
      <c r="H41" s="11">
        <v>0</v>
      </c>
      <c r="I41" s="11">
        <v>282000</v>
      </c>
      <c r="J41" s="11">
        <v>266000</v>
      </c>
      <c r="K41" s="11">
        <v>302000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O41" s="1"/>
      <c r="AP41" s="1"/>
      <c r="AQ41" s="1"/>
      <c r="AR41" s="1"/>
      <c r="AS41" s="1"/>
    </row>
    <row r="42" spans="1:45" x14ac:dyDescent="0.25">
      <c r="A42" s="9">
        <f t="shared" si="0"/>
        <v>38</v>
      </c>
      <c r="B42" s="15" t="s">
        <v>638</v>
      </c>
      <c r="C42" s="15" t="s">
        <v>89</v>
      </c>
      <c r="D42" s="109"/>
      <c r="E42" s="109" t="s">
        <v>366</v>
      </c>
      <c r="F42" s="11">
        <v>0</v>
      </c>
      <c r="G42" s="11">
        <v>0</v>
      </c>
      <c r="H42" s="11">
        <v>332000</v>
      </c>
      <c r="I42" s="11">
        <v>302000</v>
      </c>
      <c r="J42" s="11">
        <v>291000</v>
      </c>
      <c r="K42" s="11">
        <v>352000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O42" s="1"/>
      <c r="AP42" s="1"/>
      <c r="AQ42" s="1"/>
      <c r="AR42" s="1"/>
      <c r="AS42" s="1"/>
    </row>
    <row r="43" spans="1:45" x14ac:dyDescent="0.25">
      <c r="A43" s="9">
        <f t="shared" si="0"/>
        <v>39</v>
      </c>
      <c r="B43" s="112" t="s">
        <v>638</v>
      </c>
      <c r="C43" s="15"/>
      <c r="D43" s="109" t="s">
        <v>371</v>
      </c>
      <c r="E43" s="109"/>
      <c r="F43" s="11">
        <v>664000</v>
      </c>
      <c r="G43" s="11">
        <v>0</v>
      </c>
      <c r="H43" s="11">
        <v>151000</v>
      </c>
      <c r="I43" s="11">
        <v>140000</v>
      </c>
      <c r="J43" s="11">
        <v>131000</v>
      </c>
      <c r="K43" s="1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O43" s="1"/>
      <c r="AP43" s="1"/>
      <c r="AQ43" s="1"/>
      <c r="AR43" s="1"/>
      <c r="AS43" s="1"/>
    </row>
    <row r="44" spans="1:45" x14ac:dyDescent="0.25">
      <c r="A44" s="9">
        <f t="shared" si="0"/>
        <v>40</v>
      </c>
      <c r="B44" s="15" t="s">
        <v>638</v>
      </c>
      <c r="C44" s="15" t="s">
        <v>627</v>
      </c>
      <c r="D44" s="109"/>
      <c r="E44" s="109"/>
      <c r="F44" s="11">
        <v>0</v>
      </c>
      <c r="G44" s="11">
        <v>0</v>
      </c>
      <c r="H44" s="11">
        <v>352000</v>
      </c>
      <c r="I44" s="11">
        <v>332000</v>
      </c>
      <c r="J44" s="11">
        <v>0</v>
      </c>
      <c r="K44" s="11">
        <v>412000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O44" s="1"/>
      <c r="AP44" s="1"/>
      <c r="AQ44" s="1"/>
      <c r="AR44" s="1"/>
      <c r="AS44" s="1"/>
    </row>
    <row r="45" spans="1:45" x14ac:dyDescent="0.25">
      <c r="A45" s="9">
        <f t="shared" si="0"/>
        <v>41</v>
      </c>
      <c r="B45" s="112" t="s">
        <v>16</v>
      </c>
      <c r="C45" s="15" t="s">
        <v>601</v>
      </c>
      <c r="D45" s="109"/>
      <c r="E45" s="109"/>
      <c r="F45" s="11">
        <v>0</v>
      </c>
      <c r="G45" s="11">
        <v>0</v>
      </c>
      <c r="H45" s="11">
        <v>1558000</v>
      </c>
      <c r="I45" s="11">
        <v>1457000</v>
      </c>
      <c r="J45" s="11">
        <v>0</v>
      </c>
      <c r="K45" s="1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O45" s="1"/>
      <c r="AP45" s="1"/>
      <c r="AQ45" s="1"/>
      <c r="AR45" s="1"/>
      <c r="AS45" s="1"/>
    </row>
    <row r="46" spans="1:45" x14ac:dyDescent="0.25">
      <c r="A46" s="9">
        <f t="shared" si="0"/>
        <v>42</v>
      </c>
      <c r="B46" s="15" t="s">
        <v>33</v>
      </c>
      <c r="C46" s="15" t="s">
        <v>601</v>
      </c>
      <c r="D46" s="109"/>
      <c r="E46" s="109"/>
      <c r="F46" s="11">
        <v>0</v>
      </c>
      <c r="G46" s="11">
        <v>0</v>
      </c>
      <c r="H46" s="11">
        <v>684000</v>
      </c>
      <c r="I46" s="11">
        <v>653000</v>
      </c>
      <c r="J46" s="11">
        <v>623000</v>
      </c>
      <c r="K46" s="11">
        <v>854000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O46" s="1"/>
      <c r="AP46" s="1"/>
      <c r="AQ46" s="1"/>
      <c r="AR46" s="1"/>
      <c r="AS46" s="1"/>
    </row>
    <row r="47" spans="1:45" x14ac:dyDescent="0.25">
      <c r="A47" s="106">
        <f t="shared" si="0"/>
        <v>43</v>
      </c>
      <c r="B47" s="136" t="s">
        <v>33</v>
      </c>
      <c r="C47" s="136" t="s">
        <v>628</v>
      </c>
      <c r="D47" s="109"/>
      <c r="E47" s="109"/>
      <c r="F47" s="11">
        <v>0</v>
      </c>
      <c r="G47" s="11">
        <v>0</v>
      </c>
      <c r="H47" s="11">
        <v>633000</v>
      </c>
      <c r="I47" s="11">
        <v>603000</v>
      </c>
      <c r="J47" s="11">
        <v>594000</v>
      </c>
      <c r="K47" s="1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O47" s="1"/>
      <c r="AP47" s="1"/>
      <c r="AQ47" s="1"/>
      <c r="AR47" s="1"/>
      <c r="AS47" s="1"/>
    </row>
    <row r="48" spans="1:45" x14ac:dyDescent="0.25">
      <c r="A48" s="9">
        <f t="shared" si="0"/>
        <v>44</v>
      </c>
      <c r="B48" s="15" t="s">
        <v>33</v>
      </c>
      <c r="C48" s="15" t="s">
        <v>629</v>
      </c>
      <c r="D48" s="109"/>
      <c r="E48" s="109"/>
      <c r="F48" s="11">
        <v>0</v>
      </c>
      <c r="G48" s="11">
        <v>0</v>
      </c>
      <c r="H48" s="11">
        <v>603000</v>
      </c>
      <c r="I48" s="11">
        <v>573000</v>
      </c>
      <c r="J48" s="11">
        <v>533000</v>
      </c>
      <c r="K48" s="11">
        <v>845000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O48" s="1"/>
      <c r="AP48" s="1"/>
      <c r="AQ48" s="1"/>
      <c r="AR48" s="1"/>
      <c r="AS48" s="1"/>
    </row>
    <row r="49" spans="1:45" x14ac:dyDescent="0.25">
      <c r="A49" s="9">
        <f t="shared" si="0"/>
        <v>45</v>
      </c>
      <c r="B49" s="112" t="s">
        <v>94</v>
      </c>
      <c r="C49" s="15" t="s">
        <v>336</v>
      </c>
      <c r="D49" s="109"/>
      <c r="E49" s="109"/>
      <c r="F49" s="11">
        <v>0</v>
      </c>
      <c r="G49" s="11">
        <v>0</v>
      </c>
      <c r="H49" s="11">
        <v>754000</v>
      </c>
      <c r="I49" s="11">
        <v>744000</v>
      </c>
      <c r="J49" s="11">
        <v>0</v>
      </c>
      <c r="K49" s="1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O49" s="1"/>
      <c r="AP49" s="1"/>
      <c r="AQ49" s="1"/>
      <c r="AR49" s="1"/>
      <c r="AS49" s="1"/>
    </row>
    <row r="50" spans="1:45" x14ac:dyDescent="0.25">
      <c r="A50" s="9">
        <f t="shared" si="0"/>
        <v>46</v>
      </c>
      <c r="B50" s="15" t="s">
        <v>94</v>
      </c>
      <c r="C50" s="15" t="s">
        <v>630</v>
      </c>
      <c r="D50" s="109"/>
      <c r="E50" s="109"/>
      <c r="F50" s="11">
        <v>0</v>
      </c>
      <c r="G50" s="11">
        <v>0</v>
      </c>
      <c r="H50" s="11">
        <v>452000</v>
      </c>
      <c r="I50" s="11">
        <v>422000</v>
      </c>
      <c r="J50" s="11">
        <v>402000</v>
      </c>
      <c r="K50" s="11">
        <v>603000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O50" s="1"/>
      <c r="AP50" s="1"/>
      <c r="AQ50" s="1"/>
      <c r="AR50" s="1"/>
      <c r="AS50" s="1"/>
    </row>
    <row r="51" spans="1:45" x14ac:dyDescent="0.25">
      <c r="A51" s="9">
        <f t="shared" si="0"/>
        <v>47</v>
      </c>
      <c r="B51" s="112" t="s">
        <v>94</v>
      </c>
      <c r="C51" s="15" t="s">
        <v>337</v>
      </c>
      <c r="D51" s="109"/>
      <c r="E51" s="109"/>
      <c r="F51" s="11">
        <v>0</v>
      </c>
      <c r="G51" s="11">
        <v>0</v>
      </c>
      <c r="H51" s="11">
        <v>784000</v>
      </c>
      <c r="I51" s="11">
        <v>764000</v>
      </c>
      <c r="J51" s="11">
        <v>0</v>
      </c>
      <c r="K51" s="1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O51" s="1"/>
      <c r="AP51" s="1"/>
      <c r="AQ51" s="1"/>
      <c r="AR51" s="1"/>
      <c r="AS51" s="1"/>
    </row>
    <row r="52" spans="1:45" x14ac:dyDescent="0.25">
      <c r="A52" s="9">
        <f t="shared" si="0"/>
        <v>48</v>
      </c>
      <c r="B52" s="15" t="s">
        <v>94</v>
      </c>
      <c r="C52" s="15" t="s">
        <v>652</v>
      </c>
      <c r="D52" s="109"/>
      <c r="E52" s="109"/>
      <c r="F52" s="11">
        <v>0</v>
      </c>
      <c r="G52" s="11">
        <v>0</v>
      </c>
      <c r="H52" s="11">
        <v>543000</v>
      </c>
      <c r="I52" s="11">
        <v>503000</v>
      </c>
      <c r="J52" s="11">
        <v>483000</v>
      </c>
      <c r="K52" s="11">
        <v>704000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O52" s="1"/>
      <c r="AP52" s="1"/>
      <c r="AQ52" s="1"/>
      <c r="AR52" s="1"/>
      <c r="AS52" s="1"/>
    </row>
    <row r="53" spans="1:45" x14ac:dyDescent="0.25">
      <c r="A53" s="9">
        <f t="shared" si="0"/>
        <v>49</v>
      </c>
      <c r="B53" s="15" t="s">
        <v>94</v>
      </c>
      <c r="C53" s="15" t="s">
        <v>631</v>
      </c>
      <c r="D53" s="109"/>
      <c r="E53" s="109"/>
      <c r="F53" s="11">
        <v>0</v>
      </c>
      <c r="G53" s="11">
        <v>0</v>
      </c>
      <c r="H53" s="11">
        <v>443000</v>
      </c>
      <c r="I53" s="11">
        <v>402000</v>
      </c>
      <c r="J53" s="11">
        <v>0</v>
      </c>
      <c r="K53" s="11">
        <v>553000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O53" s="1"/>
      <c r="AP53" s="1"/>
      <c r="AQ53" s="1"/>
      <c r="AR53" s="1"/>
      <c r="AS53" s="1"/>
    </row>
    <row r="54" spans="1:45" x14ac:dyDescent="0.25">
      <c r="A54" s="9">
        <f t="shared" si="0"/>
        <v>50</v>
      </c>
      <c r="B54" s="15" t="s">
        <v>94</v>
      </c>
      <c r="C54" s="15" t="s">
        <v>59</v>
      </c>
      <c r="D54" s="109"/>
      <c r="E54" s="109"/>
      <c r="F54" s="11">
        <v>0</v>
      </c>
      <c r="G54" s="11">
        <v>0</v>
      </c>
      <c r="H54" s="11">
        <v>402000</v>
      </c>
      <c r="I54" s="11">
        <v>392000</v>
      </c>
      <c r="J54" s="11">
        <v>0</v>
      </c>
      <c r="K54" s="11">
        <v>522000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O54" s="1"/>
      <c r="AP54" s="1"/>
      <c r="AQ54" s="1"/>
      <c r="AR54" s="1"/>
      <c r="AS54" s="1"/>
    </row>
    <row r="55" spans="1:45" ht="31.5" x14ac:dyDescent="0.25">
      <c r="A55" s="9">
        <f t="shared" si="0"/>
        <v>51</v>
      </c>
      <c r="B55" s="15" t="s">
        <v>94</v>
      </c>
      <c r="C55" s="15" t="s">
        <v>653</v>
      </c>
      <c r="D55" s="109"/>
      <c r="E55" s="109"/>
      <c r="F55" s="11">
        <v>0</v>
      </c>
      <c r="G55" s="11">
        <v>0</v>
      </c>
      <c r="H55" s="11">
        <v>573000</v>
      </c>
      <c r="I55" s="11">
        <v>522000</v>
      </c>
      <c r="J55" s="11">
        <v>513000</v>
      </c>
      <c r="K55" s="11">
        <v>744000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O55" s="1"/>
      <c r="AP55" s="1"/>
      <c r="AQ55" s="1"/>
      <c r="AR55" s="1"/>
      <c r="AS55" s="1"/>
    </row>
    <row r="56" spans="1:45" x14ac:dyDescent="0.25">
      <c r="A56" s="9">
        <f t="shared" si="0"/>
        <v>52</v>
      </c>
      <c r="B56" s="15" t="s">
        <v>94</v>
      </c>
      <c r="C56" s="15" t="s">
        <v>332</v>
      </c>
      <c r="D56" s="109"/>
      <c r="E56" s="109"/>
      <c r="F56" s="11">
        <v>0</v>
      </c>
      <c r="G56" s="11">
        <v>0</v>
      </c>
      <c r="H56" s="11">
        <v>522000</v>
      </c>
      <c r="I56" s="11">
        <v>483000</v>
      </c>
      <c r="J56" s="11">
        <v>0</v>
      </c>
      <c r="K56" s="11">
        <v>684000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O56" s="1"/>
      <c r="AP56" s="1"/>
      <c r="AQ56" s="1"/>
      <c r="AR56" s="1"/>
      <c r="AS56" s="1"/>
    </row>
    <row r="57" spans="1:45" x14ac:dyDescent="0.25">
      <c r="A57" s="9">
        <f t="shared" si="0"/>
        <v>53</v>
      </c>
      <c r="B57" s="112" t="s">
        <v>13</v>
      </c>
      <c r="C57" s="15" t="s">
        <v>601</v>
      </c>
      <c r="D57" s="109"/>
      <c r="E57" s="109"/>
      <c r="F57" s="11">
        <v>0</v>
      </c>
      <c r="G57" s="11">
        <v>0</v>
      </c>
      <c r="H57" s="11">
        <v>1256000</v>
      </c>
      <c r="I57" s="11">
        <v>1247000</v>
      </c>
      <c r="J57" s="11">
        <v>0</v>
      </c>
      <c r="K57" s="1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O57" s="1"/>
      <c r="AP57" s="1"/>
      <c r="AQ57" s="1"/>
      <c r="AR57" s="1"/>
      <c r="AS57" s="1"/>
    </row>
    <row r="58" spans="1:45" x14ac:dyDescent="0.25">
      <c r="A58" s="9">
        <f t="shared" si="0"/>
        <v>54</v>
      </c>
      <c r="B58" s="112" t="s">
        <v>13</v>
      </c>
      <c r="C58" s="15" t="s">
        <v>632</v>
      </c>
      <c r="D58" s="109"/>
      <c r="E58" s="109"/>
      <c r="F58" s="11">
        <v>0</v>
      </c>
      <c r="G58" s="11">
        <v>0</v>
      </c>
      <c r="H58" s="11">
        <v>1106000</v>
      </c>
      <c r="I58" s="11">
        <v>1096000</v>
      </c>
      <c r="J58" s="11">
        <v>1086000</v>
      </c>
      <c r="K58" s="1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O58" s="1"/>
      <c r="AP58" s="1"/>
      <c r="AQ58" s="1"/>
      <c r="AR58" s="1"/>
      <c r="AS58" s="1"/>
    </row>
    <row r="59" spans="1:45" x14ac:dyDescent="0.25">
      <c r="A59" s="9">
        <f t="shared" si="0"/>
        <v>55</v>
      </c>
      <c r="B59" s="112" t="s">
        <v>17</v>
      </c>
      <c r="C59" s="15" t="s">
        <v>601</v>
      </c>
      <c r="D59" s="109"/>
      <c r="E59" s="109"/>
      <c r="F59" s="11">
        <v>0</v>
      </c>
      <c r="G59" s="11">
        <v>0</v>
      </c>
      <c r="H59" s="11">
        <v>1608000</v>
      </c>
      <c r="I59" s="11">
        <v>1558000</v>
      </c>
      <c r="J59" s="11">
        <v>0</v>
      </c>
      <c r="K59" s="1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O59" s="1"/>
      <c r="AP59" s="1"/>
      <c r="AQ59" s="1"/>
      <c r="AR59" s="1"/>
      <c r="AS59" s="1"/>
    </row>
    <row r="60" spans="1:45" x14ac:dyDescent="0.25">
      <c r="A60" s="9">
        <f t="shared" si="0"/>
        <v>56</v>
      </c>
      <c r="B60" s="15" t="s">
        <v>9</v>
      </c>
      <c r="C60" s="15" t="s">
        <v>601</v>
      </c>
      <c r="D60" s="109"/>
      <c r="E60" s="109"/>
      <c r="F60" s="11">
        <v>0</v>
      </c>
      <c r="G60" s="11">
        <v>0</v>
      </c>
      <c r="H60" s="11">
        <v>382000</v>
      </c>
      <c r="I60" s="11">
        <v>372000</v>
      </c>
      <c r="J60" s="11">
        <v>0</v>
      </c>
      <c r="K60" s="11">
        <v>472000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O60" s="1"/>
      <c r="AP60" s="1"/>
      <c r="AQ60" s="1"/>
      <c r="AR60" s="1"/>
      <c r="AS60" s="1"/>
    </row>
    <row r="61" spans="1:45" ht="31.5" x14ac:dyDescent="0.25">
      <c r="A61" s="9">
        <f t="shared" si="0"/>
        <v>57</v>
      </c>
      <c r="B61" s="15" t="s">
        <v>9</v>
      </c>
      <c r="C61" s="15" t="s">
        <v>633</v>
      </c>
      <c r="D61" s="109"/>
      <c r="E61" s="109"/>
      <c r="F61" s="11">
        <v>0</v>
      </c>
      <c r="G61" s="11">
        <v>0</v>
      </c>
      <c r="H61" s="11">
        <v>382000</v>
      </c>
      <c r="I61" s="11">
        <v>372000</v>
      </c>
      <c r="J61" s="11">
        <v>0</v>
      </c>
      <c r="K61" s="11">
        <v>472000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O61" s="1"/>
      <c r="AP61" s="1"/>
      <c r="AQ61" s="1"/>
      <c r="AR61" s="1"/>
      <c r="AS61" s="1"/>
    </row>
    <row r="62" spans="1:45" x14ac:dyDescent="0.25">
      <c r="A62" s="9">
        <f t="shared" si="0"/>
        <v>58</v>
      </c>
      <c r="B62" s="112" t="s">
        <v>9</v>
      </c>
      <c r="C62" s="15" t="s">
        <v>98</v>
      </c>
      <c r="D62" s="109"/>
      <c r="E62" s="109"/>
      <c r="F62" s="11">
        <v>723000</v>
      </c>
      <c r="G62" s="11">
        <v>0</v>
      </c>
      <c r="H62" s="11">
        <v>251000</v>
      </c>
      <c r="I62" s="11">
        <v>241000</v>
      </c>
      <c r="J62" s="11">
        <v>231000</v>
      </c>
      <c r="K62" s="1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O62" s="1"/>
      <c r="AP62" s="1"/>
      <c r="AQ62" s="1"/>
      <c r="AR62" s="1"/>
      <c r="AS62" s="1"/>
    </row>
    <row r="63" spans="1:45" ht="63" x14ac:dyDescent="0.25">
      <c r="A63" s="9">
        <f t="shared" si="0"/>
        <v>59</v>
      </c>
      <c r="B63" s="15" t="s">
        <v>9</v>
      </c>
      <c r="C63" s="15" t="s">
        <v>634</v>
      </c>
      <c r="D63" s="109"/>
      <c r="E63" s="109"/>
      <c r="F63" s="11">
        <v>1156000</v>
      </c>
      <c r="G63" s="11">
        <v>0</v>
      </c>
      <c r="H63" s="11">
        <v>282000</v>
      </c>
      <c r="I63" s="11">
        <v>262000</v>
      </c>
      <c r="J63" s="11">
        <v>251000</v>
      </c>
      <c r="K63" s="11">
        <v>321000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O63" s="1"/>
      <c r="AP63" s="1"/>
      <c r="AQ63" s="1"/>
      <c r="AR63" s="1"/>
      <c r="AS63" s="1"/>
    </row>
    <row r="64" spans="1:45" x14ac:dyDescent="0.25">
      <c r="A64" s="9">
        <f t="shared" si="0"/>
        <v>60</v>
      </c>
      <c r="B64" s="112" t="s">
        <v>9</v>
      </c>
      <c r="C64" s="15" t="s">
        <v>99</v>
      </c>
      <c r="D64" s="109"/>
      <c r="E64" s="109"/>
      <c r="F64" s="11">
        <v>1407000</v>
      </c>
      <c r="G64" s="11">
        <v>0</v>
      </c>
      <c r="H64" s="11">
        <v>362000</v>
      </c>
      <c r="I64" s="11">
        <v>302000</v>
      </c>
      <c r="J64" s="11">
        <v>282000</v>
      </c>
      <c r="K64" s="1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O64" s="1"/>
      <c r="AP64" s="1"/>
      <c r="AQ64" s="1"/>
      <c r="AR64" s="1"/>
      <c r="AS64" s="1"/>
    </row>
    <row r="65" spans="1:45" x14ac:dyDescent="0.25">
      <c r="A65" s="9">
        <f t="shared" si="0"/>
        <v>61</v>
      </c>
      <c r="B65" s="15" t="s">
        <v>638</v>
      </c>
      <c r="C65" s="15" t="s">
        <v>601</v>
      </c>
      <c r="D65" s="109"/>
      <c r="E65" s="109"/>
      <c r="F65" s="11">
        <v>895000</v>
      </c>
      <c r="G65" s="11">
        <v>0</v>
      </c>
      <c r="H65" s="11">
        <v>262000</v>
      </c>
      <c r="I65" s="11">
        <v>241000</v>
      </c>
      <c r="J65" s="11">
        <v>221000</v>
      </c>
      <c r="K65" s="11">
        <v>262000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O65" s="1"/>
      <c r="AP65" s="1"/>
      <c r="AQ65" s="1"/>
      <c r="AR65" s="1"/>
      <c r="AS65" s="1"/>
    </row>
    <row r="66" spans="1:45" x14ac:dyDescent="0.25">
      <c r="A66" s="9">
        <f t="shared" si="0"/>
        <v>62</v>
      </c>
      <c r="B66" s="15" t="s">
        <v>638</v>
      </c>
      <c r="C66" s="15" t="s">
        <v>601</v>
      </c>
      <c r="D66" s="109"/>
      <c r="E66" s="109" t="s">
        <v>366</v>
      </c>
      <c r="F66" s="11">
        <v>0</v>
      </c>
      <c r="G66" s="11">
        <v>352000</v>
      </c>
      <c r="H66" s="11">
        <v>321000</v>
      </c>
      <c r="I66" s="11">
        <v>302000</v>
      </c>
      <c r="J66" s="11">
        <v>271000</v>
      </c>
      <c r="K66" s="11">
        <v>342000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O66" s="1"/>
      <c r="AP66" s="1"/>
      <c r="AQ66" s="1"/>
      <c r="AR66" s="1"/>
      <c r="AS66" s="1"/>
    </row>
    <row r="67" spans="1:45" x14ac:dyDescent="0.25">
      <c r="A67" s="9">
        <f t="shared" si="0"/>
        <v>63</v>
      </c>
      <c r="B67" s="15" t="s">
        <v>19</v>
      </c>
      <c r="C67" s="15" t="s">
        <v>601</v>
      </c>
      <c r="D67" s="109"/>
      <c r="E67" s="109"/>
      <c r="F67" s="11">
        <v>0</v>
      </c>
      <c r="G67" s="11">
        <v>0</v>
      </c>
      <c r="H67" s="11">
        <v>382000</v>
      </c>
      <c r="I67" s="11">
        <v>362000</v>
      </c>
      <c r="J67" s="11">
        <v>321000</v>
      </c>
      <c r="K67" s="11">
        <v>483000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O67" s="1"/>
      <c r="AP67" s="1"/>
      <c r="AQ67" s="1"/>
      <c r="AR67" s="1"/>
      <c r="AS67" s="1"/>
    </row>
    <row r="68" spans="1:45" x14ac:dyDescent="0.25">
      <c r="A68" s="9">
        <f t="shared" si="0"/>
        <v>64</v>
      </c>
      <c r="B68" s="111" t="s">
        <v>19</v>
      </c>
      <c r="C68" s="111" t="s">
        <v>635</v>
      </c>
      <c r="D68" s="109"/>
      <c r="E68" s="109"/>
      <c r="F68" s="11">
        <v>0</v>
      </c>
      <c r="G68" s="11">
        <v>0</v>
      </c>
      <c r="H68" s="11">
        <v>432000</v>
      </c>
      <c r="I68" s="11">
        <v>422000</v>
      </c>
      <c r="J68" s="11">
        <v>352000</v>
      </c>
      <c r="K68" s="11">
        <v>553000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O68" s="1"/>
      <c r="AP68" s="1"/>
      <c r="AQ68" s="1"/>
      <c r="AR68" s="1"/>
      <c r="AS68" s="1"/>
    </row>
    <row r="69" spans="1:45" x14ac:dyDescent="0.25">
      <c r="A69" s="12">
        <f t="shared" ref="A69" si="1">A68+1</f>
        <v>65</v>
      </c>
      <c r="B69" s="110" t="s">
        <v>19</v>
      </c>
      <c r="C69" s="110" t="s">
        <v>636</v>
      </c>
      <c r="D69" s="109"/>
      <c r="E69" s="109"/>
      <c r="F69" s="11">
        <v>0</v>
      </c>
      <c r="G69" s="11">
        <v>0</v>
      </c>
      <c r="H69" s="11">
        <v>352000</v>
      </c>
      <c r="I69" s="11">
        <v>321000</v>
      </c>
      <c r="J69" s="11">
        <v>282000</v>
      </c>
      <c r="K69" s="11">
        <v>463000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O69" s="1"/>
      <c r="AP69" s="1"/>
      <c r="AQ69" s="1"/>
      <c r="AR69" s="1"/>
      <c r="AS69" s="1"/>
    </row>
    <row r="71" spans="1:45" ht="16.5" thickBot="1" x14ac:dyDescent="0.3"/>
    <row r="72" spans="1:45" ht="17.25" thickTop="1" thickBot="1" x14ac:dyDescent="0.3">
      <c r="A72" s="1"/>
      <c r="B72" s="1"/>
      <c r="C72" s="1"/>
      <c r="D72" s="1"/>
      <c r="E72" s="40">
        <v>46023</v>
      </c>
      <c r="N72" s="1"/>
      <c r="O72" s="1"/>
      <c r="P72" s="1"/>
      <c r="Q72" s="1"/>
      <c r="R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O72" s="1"/>
      <c r="AP72" s="1"/>
      <c r="AQ72" s="1"/>
      <c r="AR72" s="1"/>
      <c r="AS72" s="1"/>
    </row>
    <row r="73" spans="1:45" ht="16.5" thickTop="1" x14ac:dyDescent="0.25">
      <c r="A73" s="5" t="s">
        <v>0</v>
      </c>
      <c r="B73" s="5" t="s">
        <v>599</v>
      </c>
      <c r="C73" s="5" t="s">
        <v>639</v>
      </c>
      <c r="D73" s="5" t="s">
        <v>648</v>
      </c>
      <c r="E73" s="17" t="s">
        <v>6</v>
      </c>
      <c r="N73" s="1"/>
      <c r="O73" s="1"/>
      <c r="P73" s="1"/>
      <c r="Q73" s="1"/>
      <c r="R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O73" s="1"/>
      <c r="AP73" s="1"/>
      <c r="AQ73" s="1"/>
      <c r="AR73" s="1"/>
      <c r="AS73" s="1"/>
    </row>
    <row r="74" spans="1:45" ht="20.25" customHeight="1" x14ac:dyDescent="0.25">
      <c r="A74" s="6">
        <v>1</v>
      </c>
      <c r="B74" s="15" t="s">
        <v>638</v>
      </c>
      <c r="C74" s="15" t="s">
        <v>645</v>
      </c>
      <c r="D74" s="15"/>
      <c r="E74" s="8">
        <v>704000</v>
      </c>
      <c r="N74" s="1"/>
      <c r="O74" s="1"/>
      <c r="P74" s="1"/>
      <c r="Q74" s="1"/>
      <c r="R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O74" s="1"/>
      <c r="AP74" s="1"/>
      <c r="AQ74" s="1"/>
      <c r="AR74" s="1"/>
      <c r="AS74" s="1"/>
    </row>
    <row r="75" spans="1:45" ht="31.5" x14ac:dyDescent="0.25">
      <c r="A75" s="9">
        <f>A74+1</f>
        <v>2</v>
      </c>
      <c r="B75" s="15" t="s">
        <v>638</v>
      </c>
      <c r="C75" s="15" t="s">
        <v>646</v>
      </c>
      <c r="D75" s="16" t="s">
        <v>640</v>
      </c>
      <c r="E75" s="14">
        <v>221000</v>
      </c>
      <c r="N75" s="1"/>
      <c r="O75" s="1"/>
      <c r="P75" s="1"/>
      <c r="Q75" s="1"/>
      <c r="R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O75" s="1"/>
      <c r="AP75" s="1"/>
      <c r="AQ75" s="1"/>
      <c r="AR75" s="1"/>
      <c r="AS75" s="1"/>
    </row>
    <row r="76" spans="1:45" ht="31.5" x14ac:dyDescent="0.25">
      <c r="A76" s="12">
        <f>A75+1</f>
        <v>3</v>
      </c>
      <c r="B76" s="15" t="s">
        <v>638</v>
      </c>
      <c r="C76" s="15" t="s">
        <v>646</v>
      </c>
      <c r="D76" s="16" t="s">
        <v>641</v>
      </c>
      <c r="E76" s="14">
        <v>181000</v>
      </c>
      <c r="N76" s="1"/>
      <c r="O76" s="1"/>
      <c r="P76" s="1"/>
      <c r="Q76" s="1"/>
      <c r="R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O76" s="1"/>
      <c r="AP76" s="1"/>
      <c r="AQ76" s="1"/>
      <c r="AR76" s="1"/>
      <c r="AS76" s="1"/>
    </row>
    <row r="77" spans="1:45" x14ac:dyDescent="0.25">
      <c r="A77" s="12">
        <f>A76+1</f>
        <v>4</v>
      </c>
      <c r="B77" s="15" t="s">
        <v>638</v>
      </c>
      <c r="C77" s="15" t="s">
        <v>647</v>
      </c>
      <c r="D77" s="43" t="s">
        <v>642</v>
      </c>
      <c r="E77" s="44">
        <v>625000</v>
      </c>
      <c r="N77" s="1"/>
      <c r="O77" s="1"/>
      <c r="P77" s="1"/>
      <c r="Q77" s="1"/>
      <c r="R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O77" s="1"/>
      <c r="AP77" s="1"/>
      <c r="AQ77" s="1"/>
      <c r="AR77" s="1"/>
      <c r="AS77" s="1"/>
    </row>
    <row r="78" spans="1:45" x14ac:dyDescent="0.25">
      <c r="A78" s="12">
        <f>A77+1</f>
        <v>5</v>
      </c>
      <c r="B78" s="15" t="s">
        <v>638</v>
      </c>
      <c r="C78" s="15" t="s">
        <v>647</v>
      </c>
      <c r="D78" s="43" t="s">
        <v>643</v>
      </c>
      <c r="E78" s="44">
        <v>529000</v>
      </c>
      <c r="N78" s="1"/>
      <c r="O78" s="1"/>
      <c r="P78" s="1"/>
      <c r="Q78" s="1"/>
      <c r="R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O78" s="1"/>
      <c r="AP78" s="1"/>
      <c r="AQ78" s="1"/>
      <c r="AR78" s="1"/>
      <c r="AS78" s="1"/>
    </row>
    <row r="81" spans="1:45" ht="16.5" thickBot="1" x14ac:dyDescent="0.3"/>
    <row r="82" spans="1:45" ht="45" customHeight="1" thickTop="1" thickBot="1" x14ac:dyDescent="0.3">
      <c r="B82" s="1"/>
      <c r="C82" s="1"/>
      <c r="D82" s="1"/>
      <c r="E82" s="116" t="s">
        <v>428</v>
      </c>
      <c r="F82" s="117"/>
      <c r="G82" s="11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O82" s="1"/>
      <c r="AP82" s="1"/>
      <c r="AQ82" s="1"/>
      <c r="AR82" s="1"/>
      <c r="AS82" s="1"/>
    </row>
    <row r="83" spans="1:45" ht="16.5" thickTop="1" x14ac:dyDescent="0.25">
      <c r="A83" s="115" t="s">
        <v>0</v>
      </c>
      <c r="B83" s="115" t="s">
        <v>600</v>
      </c>
      <c r="C83" s="115" t="s">
        <v>599</v>
      </c>
      <c r="D83" s="115" t="s">
        <v>637</v>
      </c>
      <c r="E83" s="17" t="s">
        <v>24</v>
      </c>
      <c r="F83" s="17" t="s">
        <v>25</v>
      </c>
      <c r="G83" s="17" t="s">
        <v>26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O83" s="1"/>
      <c r="AP83" s="1"/>
      <c r="AQ83" s="1"/>
      <c r="AR83" s="1"/>
      <c r="AS83" s="1"/>
    </row>
    <row r="84" spans="1:45" x14ac:dyDescent="0.25">
      <c r="A84" s="115"/>
      <c r="B84" s="115"/>
      <c r="C84" s="115"/>
      <c r="D84" s="115"/>
      <c r="E84" s="5" t="s">
        <v>7</v>
      </c>
      <c r="F84" s="5" t="s">
        <v>7</v>
      </c>
      <c r="G84" s="5" t="s">
        <v>7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O84" s="1"/>
      <c r="AP84" s="1"/>
      <c r="AQ84" s="1"/>
      <c r="AR84" s="1"/>
      <c r="AS84" s="1"/>
    </row>
    <row r="85" spans="1:45" ht="31.5" x14ac:dyDescent="0.25">
      <c r="A85" s="18">
        <v>1</v>
      </c>
      <c r="B85" s="19" t="s">
        <v>69</v>
      </c>
      <c r="C85" s="19" t="s">
        <v>70</v>
      </c>
      <c r="D85" s="19" t="s">
        <v>644</v>
      </c>
      <c r="E85" s="20">
        <v>522000</v>
      </c>
      <c r="F85" s="20">
        <v>493000</v>
      </c>
      <c r="G85" s="20">
        <v>483000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O85" s="1"/>
      <c r="AP85" s="1"/>
      <c r="AQ85" s="1"/>
      <c r="AR85" s="1"/>
      <c r="AS85" s="1"/>
    </row>
    <row r="88" spans="1:45" x14ac:dyDescent="0.25">
      <c r="W88" s="82"/>
    </row>
  </sheetData>
  <mergeCells count="11">
    <mergeCell ref="F1:K1"/>
    <mergeCell ref="B83:B84"/>
    <mergeCell ref="C83:C84"/>
    <mergeCell ref="D83:D84"/>
    <mergeCell ref="A2:A3"/>
    <mergeCell ref="A83:A84"/>
    <mergeCell ref="E82:G82"/>
    <mergeCell ref="C2:C3"/>
    <mergeCell ref="B2:B3"/>
    <mergeCell ref="E2:E3"/>
    <mergeCell ref="D2:D3"/>
  </mergeCells>
  <pageMargins left="0.7" right="0.7" top="0.75" bottom="0.75" header="0.3" footer="0.3"/>
  <pageSetup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B4113-892D-4300-8D10-26924E317DAD}">
  <sheetPr>
    <tabColor theme="5" tint="-0.249977111117893"/>
  </sheetPr>
  <dimension ref="A1:AE92"/>
  <sheetViews>
    <sheetView showZeros="0" zoomScale="85" zoomScaleNormal="85" workbookViewId="0">
      <pane xSplit="2" ySplit="3" topLeftCell="D61" activePane="bottomRight" state="frozen"/>
      <selection pane="topRight" activeCell="C1" sqref="C1"/>
      <selection pane="bottomLeft" activeCell="A4" sqref="A4"/>
      <selection pane="bottomRight" activeCell="H18" sqref="H18"/>
    </sheetView>
  </sheetViews>
  <sheetFormatPr defaultRowHeight="15.75" x14ac:dyDescent="0.25"/>
  <cols>
    <col min="1" max="1" width="9.140625" style="2"/>
    <col min="2" max="2" width="45.7109375" style="3" customWidth="1"/>
    <col min="3" max="3" width="45.7109375" style="3" hidden="1" customWidth="1"/>
    <col min="4" max="7" width="45.7109375" style="3" customWidth="1"/>
    <col min="8" max="31" width="13.7109375" style="4" customWidth="1"/>
    <col min="32" max="278" width="13.7109375" style="1" customWidth="1"/>
    <col min="279" max="16384" width="9.140625" style="1"/>
  </cols>
  <sheetData>
    <row r="1" spans="1:31" ht="17.25" customHeight="1" thickTop="1" thickBot="1" x14ac:dyDescent="0.3">
      <c r="A1" s="1"/>
      <c r="B1" s="1">
        <f>100-3.8</f>
        <v>96.2</v>
      </c>
      <c r="C1" s="1"/>
      <c r="D1" s="1"/>
      <c r="E1" s="1"/>
      <c r="F1" s="1"/>
      <c r="G1" s="1"/>
      <c r="H1" s="124" t="s">
        <v>427</v>
      </c>
      <c r="I1" s="125"/>
      <c r="J1" s="125"/>
      <c r="K1" s="12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48" thickTop="1" x14ac:dyDescent="0.25">
      <c r="A2" s="115" t="s">
        <v>0</v>
      </c>
      <c r="B2" s="115" t="s">
        <v>110</v>
      </c>
      <c r="C2" s="115" t="s">
        <v>207</v>
      </c>
      <c r="D2" s="17" t="s">
        <v>599</v>
      </c>
      <c r="E2" s="17" t="s">
        <v>600</v>
      </c>
      <c r="F2" s="17" t="s">
        <v>639</v>
      </c>
      <c r="G2" s="17" t="s">
        <v>637</v>
      </c>
      <c r="H2" s="17" t="s">
        <v>2</v>
      </c>
      <c r="I2" s="24" t="s">
        <v>164</v>
      </c>
      <c r="J2" s="17" t="s">
        <v>3</v>
      </c>
      <c r="K2" s="17" t="s">
        <v>179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x14ac:dyDescent="0.25">
      <c r="A3" s="115"/>
      <c r="B3" s="115"/>
      <c r="C3" s="115"/>
      <c r="D3" s="5"/>
      <c r="E3" s="5"/>
      <c r="F3" s="5"/>
      <c r="G3" s="5"/>
      <c r="H3" s="5" t="s">
        <v>6</v>
      </c>
      <c r="I3" s="5" t="s">
        <v>7</v>
      </c>
      <c r="J3" s="5" t="s">
        <v>7</v>
      </c>
      <c r="K3" s="5" t="s">
        <v>7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63" x14ac:dyDescent="0.25">
      <c r="A4" s="6">
        <v>1</v>
      </c>
      <c r="B4" s="15" t="s">
        <v>169</v>
      </c>
      <c r="C4" s="15" t="s">
        <v>168</v>
      </c>
      <c r="D4" s="15" t="s">
        <v>638</v>
      </c>
      <c r="E4" s="15" t="s">
        <v>689</v>
      </c>
      <c r="F4" s="15"/>
      <c r="G4" s="15"/>
      <c r="H4" s="8">
        <v>1347000</v>
      </c>
      <c r="I4" s="8">
        <v>0</v>
      </c>
      <c r="J4" s="8">
        <v>422000</v>
      </c>
      <c r="K4" s="8">
        <v>503000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x14ac:dyDescent="0.25">
      <c r="A5" s="9">
        <f t="shared" ref="A5:A22" si="0">A4+1</f>
        <v>2</v>
      </c>
      <c r="B5" s="21" t="s">
        <v>171</v>
      </c>
      <c r="C5" s="21" t="s">
        <v>170</v>
      </c>
      <c r="D5" s="15" t="s">
        <v>638</v>
      </c>
      <c r="E5" s="15" t="s">
        <v>658</v>
      </c>
      <c r="F5" s="15"/>
      <c r="G5" s="109"/>
      <c r="H5" s="11">
        <v>1608000</v>
      </c>
      <c r="I5" s="11">
        <v>0</v>
      </c>
      <c r="J5" s="11">
        <v>443000</v>
      </c>
      <c r="K5" s="11">
        <v>533000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63" x14ac:dyDescent="0.25">
      <c r="A6" s="9">
        <f t="shared" si="0"/>
        <v>3</v>
      </c>
      <c r="B6" s="21" t="s">
        <v>173</v>
      </c>
      <c r="C6" s="21" t="s">
        <v>172</v>
      </c>
      <c r="D6" s="15" t="s">
        <v>638</v>
      </c>
      <c r="E6" s="15" t="s">
        <v>659</v>
      </c>
      <c r="F6" s="15"/>
      <c r="G6" s="109"/>
      <c r="H6" s="11">
        <v>1156000</v>
      </c>
      <c r="I6" s="11">
        <v>0</v>
      </c>
      <c r="J6" s="11">
        <v>362000</v>
      </c>
      <c r="K6" s="11">
        <v>452000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31.5" x14ac:dyDescent="0.25">
      <c r="A7" s="9">
        <f t="shared" si="0"/>
        <v>4</v>
      </c>
      <c r="B7" s="21" t="s">
        <v>174</v>
      </c>
      <c r="C7" s="21" t="s">
        <v>10</v>
      </c>
      <c r="D7" s="15" t="s">
        <v>69</v>
      </c>
      <c r="E7" s="15" t="s">
        <v>660</v>
      </c>
      <c r="F7" s="15"/>
      <c r="G7" s="109"/>
      <c r="H7" s="11">
        <v>0</v>
      </c>
      <c r="I7" s="11">
        <v>0</v>
      </c>
      <c r="J7" s="11">
        <v>588000</v>
      </c>
      <c r="K7" s="11">
        <v>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47.25" x14ac:dyDescent="0.25">
      <c r="A8" s="9">
        <f t="shared" si="0"/>
        <v>5</v>
      </c>
      <c r="B8" s="21" t="s">
        <v>176</v>
      </c>
      <c r="C8" s="21" t="s">
        <v>175</v>
      </c>
      <c r="D8" s="15" t="s">
        <v>69</v>
      </c>
      <c r="E8" s="15" t="s">
        <v>664</v>
      </c>
      <c r="F8" s="15"/>
      <c r="G8" s="109"/>
      <c r="H8" s="11">
        <v>1156000</v>
      </c>
      <c r="I8" s="11">
        <v>0</v>
      </c>
      <c r="J8" s="11">
        <v>367000</v>
      </c>
      <c r="K8" s="11">
        <v>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31.5" x14ac:dyDescent="0.25">
      <c r="A9" s="9">
        <f t="shared" si="0"/>
        <v>6</v>
      </c>
      <c r="B9" s="21" t="s">
        <v>178</v>
      </c>
      <c r="C9" s="21" t="s">
        <v>177</v>
      </c>
      <c r="D9" s="15" t="s">
        <v>69</v>
      </c>
      <c r="E9" s="15" t="s">
        <v>665</v>
      </c>
      <c r="F9" s="15"/>
      <c r="G9" s="109"/>
      <c r="H9" s="11">
        <v>2112000</v>
      </c>
      <c r="I9" s="11">
        <v>0</v>
      </c>
      <c r="J9" s="11">
        <v>493000</v>
      </c>
      <c r="K9" s="11">
        <v>623000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31.5" x14ac:dyDescent="0.25">
      <c r="A10" s="9">
        <f t="shared" si="0"/>
        <v>7</v>
      </c>
      <c r="B10" s="21" t="s">
        <v>181</v>
      </c>
      <c r="C10" s="21" t="s">
        <v>180</v>
      </c>
      <c r="D10" s="15" t="s">
        <v>69</v>
      </c>
      <c r="E10" s="15" t="s">
        <v>666</v>
      </c>
      <c r="F10" s="15"/>
      <c r="G10" s="109"/>
      <c r="H10" s="11">
        <v>1810000</v>
      </c>
      <c r="I10" s="11">
        <v>0</v>
      </c>
      <c r="J10" s="11">
        <v>443000</v>
      </c>
      <c r="K10" s="11">
        <v>533000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x14ac:dyDescent="0.25">
      <c r="A11" s="9">
        <f t="shared" si="0"/>
        <v>8</v>
      </c>
      <c r="B11" s="21" t="s">
        <v>161</v>
      </c>
      <c r="C11" s="21" t="s">
        <v>182</v>
      </c>
      <c r="D11" s="15" t="s">
        <v>638</v>
      </c>
      <c r="E11" s="15"/>
      <c r="F11" s="15"/>
      <c r="G11" s="109"/>
      <c r="H11" s="11">
        <v>895000</v>
      </c>
      <c r="I11" s="11">
        <v>0</v>
      </c>
      <c r="J11" s="11">
        <v>332000</v>
      </c>
      <c r="K11" s="11">
        <v>337000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x14ac:dyDescent="0.25">
      <c r="A12" s="9">
        <f t="shared" si="0"/>
        <v>9</v>
      </c>
      <c r="B12" s="21" t="s">
        <v>162</v>
      </c>
      <c r="C12" s="21" t="s">
        <v>162</v>
      </c>
      <c r="D12" s="15" t="s">
        <v>638</v>
      </c>
      <c r="E12" s="15"/>
      <c r="F12" s="15"/>
      <c r="G12" s="109" t="s">
        <v>366</v>
      </c>
      <c r="H12" s="11">
        <v>895000</v>
      </c>
      <c r="I12" s="11">
        <v>458000</v>
      </c>
      <c r="J12" s="11">
        <v>412000</v>
      </c>
      <c r="K12" s="11">
        <v>443000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31.5" x14ac:dyDescent="0.25">
      <c r="A13" s="9">
        <f t="shared" si="0"/>
        <v>10</v>
      </c>
      <c r="B13" s="21" t="s">
        <v>184</v>
      </c>
      <c r="C13" s="21" t="s">
        <v>183</v>
      </c>
      <c r="D13" s="15" t="s">
        <v>638</v>
      </c>
      <c r="E13" s="15" t="s">
        <v>672</v>
      </c>
      <c r="F13" s="15"/>
      <c r="G13" s="109"/>
      <c r="H13" s="11">
        <v>1156000</v>
      </c>
      <c r="I13" s="11">
        <v>0</v>
      </c>
      <c r="J13" s="11">
        <v>392000</v>
      </c>
      <c r="K13" s="11">
        <v>392000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x14ac:dyDescent="0.25">
      <c r="A14" s="9">
        <f t="shared" si="0"/>
        <v>11</v>
      </c>
      <c r="B14" s="21" t="s">
        <v>186</v>
      </c>
      <c r="C14" s="21" t="s">
        <v>185</v>
      </c>
      <c r="D14" s="15" t="s">
        <v>638</v>
      </c>
      <c r="E14" s="15" t="s">
        <v>89</v>
      </c>
      <c r="F14" s="15"/>
      <c r="G14" s="109" t="s">
        <v>366</v>
      </c>
      <c r="H14" s="11">
        <v>1156000</v>
      </c>
      <c r="I14" s="11">
        <v>0</v>
      </c>
      <c r="J14" s="11">
        <v>422000</v>
      </c>
      <c r="K14" s="11">
        <v>452000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x14ac:dyDescent="0.25">
      <c r="A15" s="9">
        <f t="shared" si="0"/>
        <v>12</v>
      </c>
      <c r="B15" s="21" t="s">
        <v>188</v>
      </c>
      <c r="C15" s="21" t="s">
        <v>187</v>
      </c>
      <c r="D15" s="15" t="s">
        <v>638</v>
      </c>
      <c r="E15" s="15"/>
      <c r="F15" s="15" t="s">
        <v>371</v>
      </c>
      <c r="G15" s="109"/>
      <c r="H15" s="11">
        <v>664000</v>
      </c>
      <c r="I15" s="11">
        <v>0</v>
      </c>
      <c r="J15" s="11">
        <v>196000</v>
      </c>
      <c r="K15" s="11">
        <v>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63" x14ac:dyDescent="0.25">
      <c r="A16" s="9">
        <f t="shared" si="0"/>
        <v>13</v>
      </c>
      <c r="B16" s="21" t="s">
        <v>189</v>
      </c>
      <c r="C16" s="21" t="s">
        <v>8</v>
      </c>
      <c r="D16" s="15" t="s">
        <v>9</v>
      </c>
      <c r="E16" s="15" t="s">
        <v>677</v>
      </c>
      <c r="F16" s="15"/>
      <c r="G16" s="109"/>
      <c r="H16" s="11">
        <v>1156000</v>
      </c>
      <c r="I16" s="11">
        <v>0</v>
      </c>
      <c r="J16" s="11">
        <v>362000</v>
      </c>
      <c r="K16" s="11">
        <v>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x14ac:dyDescent="0.25">
      <c r="A17" s="9">
        <f t="shared" si="0"/>
        <v>14</v>
      </c>
      <c r="B17" s="21" t="s">
        <v>191</v>
      </c>
      <c r="C17" s="21" t="s">
        <v>190</v>
      </c>
      <c r="D17" s="15" t="s">
        <v>9</v>
      </c>
      <c r="E17" s="15" t="s">
        <v>98</v>
      </c>
      <c r="F17" s="15"/>
      <c r="G17" s="109"/>
      <c r="H17" s="11">
        <v>754000</v>
      </c>
      <c r="I17" s="11">
        <v>0</v>
      </c>
      <c r="J17" s="11">
        <v>321000</v>
      </c>
      <c r="K17" s="11">
        <v>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x14ac:dyDescent="0.25">
      <c r="A18" s="9">
        <f t="shared" si="0"/>
        <v>15</v>
      </c>
      <c r="B18" s="21" t="s">
        <v>139</v>
      </c>
      <c r="C18" s="21" t="s">
        <v>192</v>
      </c>
      <c r="D18" s="15" t="s">
        <v>9</v>
      </c>
      <c r="E18" s="15"/>
      <c r="F18" s="15" t="s">
        <v>678</v>
      </c>
      <c r="G18" s="109"/>
      <c r="H18" s="11">
        <v>1407000</v>
      </c>
      <c r="I18" s="11">
        <v>0</v>
      </c>
      <c r="J18" s="11">
        <v>463000</v>
      </c>
      <c r="K18" s="11">
        <v>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x14ac:dyDescent="0.25">
      <c r="A19" s="9">
        <f t="shared" si="0"/>
        <v>16</v>
      </c>
      <c r="B19" s="21" t="s">
        <v>9</v>
      </c>
      <c r="C19" s="21" t="s">
        <v>9</v>
      </c>
      <c r="D19" s="15" t="s">
        <v>9</v>
      </c>
      <c r="E19" s="15"/>
      <c r="F19" s="15"/>
      <c r="G19" s="109"/>
      <c r="H19" s="11">
        <v>0</v>
      </c>
      <c r="I19" s="11">
        <v>0</v>
      </c>
      <c r="J19" s="11">
        <v>493000</v>
      </c>
      <c r="K19" s="11">
        <v>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31.5" x14ac:dyDescent="0.25">
      <c r="A20" s="9">
        <f t="shared" si="0"/>
        <v>17</v>
      </c>
      <c r="B20" s="21" t="s">
        <v>194</v>
      </c>
      <c r="C20" s="21" t="s">
        <v>193</v>
      </c>
      <c r="D20" s="15" t="s">
        <v>9</v>
      </c>
      <c r="E20" s="15" t="s">
        <v>683</v>
      </c>
      <c r="F20" s="15"/>
      <c r="G20" s="109"/>
      <c r="H20" s="11">
        <v>0</v>
      </c>
      <c r="I20" s="11">
        <v>0</v>
      </c>
      <c r="J20" s="11">
        <v>493000</v>
      </c>
      <c r="K20" s="11">
        <v>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x14ac:dyDescent="0.25">
      <c r="A21" s="9">
        <f t="shared" si="0"/>
        <v>18</v>
      </c>
      <c r="B21" s="21" t="s">
        <v>196</v>
      </c>
      <c r="C21" s="21" t="s">
        <v>195</v>
      </c>
      <c r="D21" s="15" t="s">
        <v>638</v>
      </c>
      <c r="E21" s="15" t="s">
        <v>687</v>
      </c>
      <c r="F21" s="15"/>
      <c r="G21" s="109"/>
      <c r="H21" s="11">
        <v>0</v>
      </c>
      <c r="I21" s="11">
        <v>0</v>
      </c>
      <c r="J21" s="11">
        <v>452000</v>
      </c>
      <c r="K21" s="11">
        <v>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31.5" x14ac:dyDescent="0.25">
      <c r="A22" s="12">
        <f t="shared" si="0"/>
        <v>19</v>
      </c>
      <c r="B22" s="16" t="s">
        <v>198</v>
      </c>
      <c r="C22" s="16" t="s">
        <v>197</v>
      </c>
      <c r="D22" s="16" t="s">
        <v>638</v>
      </c>
      <c r="E22" s="16" t="s">
        <v>688</v>
      </c>
      <c r="F22" s="16"/>
      <c r="G22" s="16"/>
      <c r="H22" s="14">
        <v>0</v>
      </c>
      <c r="I22" s="14">
        <v>0</v>
      </c>
      <c r="J22" s="14">
        <v>443000</v>
      </c>
      <c r="K22" s="14">
        <v>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x14ac:dyDescent="0.25"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x14ac:dyDescent="0.25"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6.5" thickBot="1" x14ac:dyDescent="0.3">
      <c r="A25" s="87"/>
      <c r="B25" s="88" t="s">
        <v>538</v>
      </c>
      <c r="C25" s="88"/>
      <c r="D25" s="88"/>
      <c r="E25" s="88"/>
      <c r="F25" s="88"/>
      <c r="G25" s="88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7.25" thickTop="1" thickBot="1" x14ac:dyDescent="0.3">
      <c r="A26" s="1"/>
      <c r="B26" s="1">
        <f>100-3.8</f>
        <v>96.2</v>
      </c>
      <c r="C26" s="1"/>
      <c r="D26" s="1"/>
      <c r="E26" s="1"/>
      <c r="F26" s="1"/>
      <c r="G26" s="1"/>
      <c r="H26" s="124" t="s">
        <v>427</v>
      </c>
      <c r="I26" s="125"/>
      <c r="J26" s="125"/>
      <c r="K26" s="125"/>
      <c r="L26" s="126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6.5" thickTop="1" x14ac:dyDescent="0.25">
      <c r="A27" s="115" t="s">
        <v>0</v>
      </c>
      <c r="B27" s="115" t="s">
        <v>110</v>
      </c>
      <c r="C27" s="115" t="s">
        <v>207</v>
      </c>
      <c r="D27" s="17" t="s">
        <v>599</v>
      </c>
      <c r="E27" s="17" t="s">
        <v>600</v>
      </c>
      <c r="F27" s="17" t="s">
        <v>639</v>
      </c>
      <c r="G27" s="17" t="s">
        <v>637</v>
      </c>
      <c r="H27" s="17" t="s">
        <v>2</v>
      </c>
      <c r="I27" s="17" t="s">
        <v>3</v>
      </c>
      <c r="J27" s="17" t="s">
        <v>4</v>
      </c>
      <c r="K27" s="17" t="s">
        <v>5</v>
      </c>
      <c r="L27" s="17" t="s">
        <v>430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x14ac:dyDescent="0.25">
      <c r="A28" s="115"/>
      <c r="B28" s="115"/>
      <c r="C28" s="115"/>
      <c r="D28" s="5"/>
      <c r="E28" s="5"/>
      <c r="F28" s="5"/>
      <c r="G28" s="5"/>
      <c r="H28" s="5" t="s">
        <v>6</v>
      </c>
      <c r="I28" s="5" t="s">
        <v>7</v>
      </c>
      <c r="J28" s="5" t="s">
        <v>7</v>
      </c>
      <c r="K28" s="5" t="s">
        <v>7</v>
      </c>
      <c r="L28" s="5" t="s">
        <v>7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x14ac:dyDescent="0.25">
      <c r="A29" s="6">
        <v>1</v>
      </c>
      <c r="B29" s="15" t="s">
        <v>208</v>
      </c>
      <c r="C29" s="15" t="s">
        <v>208</v>
      </c>
      <c r="D29" s="15" t="str">
        <f>TRIM(LEFT(B29, FIND(",", B29) - 1))</f>
        <v>An Giang</v>
      </c>
      <c r="E29" s="15" t="s">
        <v>44</v>
      </c>
      <c r="F29" s="15"/>
      <c r="G29" s="15"/>
      <c r="H29" s="8">
        <v>0</v>
      </c>
      <c r="I29" s="8">
        <v>608000</v>
      </c>
      <c r="J29" s="8">
        <v>570000</v>
      </c>
      <c r="K29" s="8">
        <v>484000</v>
      </c>
      <c r="L29" s="8">
        <v>758000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x14ac:dyDescent="0.25">
      <c r="A30" s="9">
        <f t="shared" ref="A30:A92" si="1">A29+1</f>
        <v>2</v>
      </c>
      <c r="B30" s="21" t="s">
        <v>27</v>
      </c>
      <c r="C30" s="21" t="s">
        <v>209</v>
      </c>
      <c r="D30" s="15" t="s">
        <v>27</v>
      </c>
      <c r="E30" s="15"/>
      <c r="F30" s="15"/>
      <c r="G30" s="109"/>
      <c r="H30" s="11">
        <v>0</v>
      </c>
      <c r="I30" s="11">
        <v>570000</v>
      </c>
      <c r="J30" s="11">
        <v>458000</v>
      </c>
      <c r="K30" s="11">
        <v>392000</v>
      </c>
      <c r="L30" s="11">
        <v>679000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x14ac:dyDescent="0.25">
      <c r="A31" s="9">
        <f t="shared" si="1"/>
        <v>3</v>
      </c>
      <c r="B31" s="21" t="s">
        <v>210</v>
      </c>
      <c r="C31" s="21" t="s">
        <v>22</v>
      </c>
      <c r="D31" s="15" t="str">
        <f t="shared" ref="D31:D89" si="2">TRIM(LEFT(B31, FIND(",", B31) - 1))</f>
        <v>Cà Mau</v>
      </c>
      <c r="E31" s="15" t="s">
        <v>654</v>
      </c>
      <c r="F31" s="15"/>
      <c r="G31" s="109"/>
      <c r="H31" s="11">
        <v>0</v>
      </c>
      <c r="I31" s="11">
        <v>705000</v>
      </c>
      <c r="J31" s="11">
        <v>588000</v>
      </c>
      <c r="K31" s="11">
        <v>549000</v>
      </c>
      <c r="L31" s="11">
        <v>849000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31.5" x14ac:dyDescent="0.25">
      <c r="A32" s="9">
        <f t="shared" si="1"/>
        <v>4</v>
      </c>
      <c r="B32" s="21" t="s">
        <v>211</v>
      </c>
      <c r="C32" s="21" t="s">
        <v>18</v>
      </c>
      <c r="D32" s="15" t="str">
        <f t="shared" si="2"/>
        <v>Vĩnh Long</v>
      </c>
      <c r="E32" s="15" t="s">
        <v>655</v>
      </c>
      <c r="F32" s="15"/>
      <c r="G32" s="109"/>
      <c r="H32" s="11">
        <v>0</v>
      </c>
      <c r="I32" s="11">
        <v>458000</v>
      </c>
      <c r="J32" s="11">
        <v>418000</v>
      </c>
      <c r="K32" s="11">
        <v>367000</v>
      </c>
      <c r="L32" s="11">
        <v>601000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x14ac:dyDescent="0.25">
      <c r="A33" s="9">
        <f t="shared" si="1"/>
        <v>5</v>
      </c>
      <c r="B33" s="21" t="s">
        <v>212</v>
      </c>
      <c r="C33" s="21" t="s">
        <v>31</v>
      </c>
      <c r="D33" s="15" t="str">
        <f t="shared" si="2"/>
        <v>Gia Lai</v>
      </c>
      <c r="E33" s="15" t="s">
        <v>656</v>
      </c>
      <c r="F33" s="15"/>
      <c r="G33" s="109"/>
      <c r="H33" s="11">
        <v>0</v>
      </c>
      <c r="I33" s="11">
        <v>1504000</v>
      </c>
      <c r="J33" s="11">
        <v>1464000</v>
      </c>
      <c r="K33" s="11">
        <v>0</v>
      </c>
      <c r="L33" s="11"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31.5" x14ac:dyDescent="0.25">
      <c r="A34" s="9">
        <f t="shared" si="1"/>
        <v>6</v>
      </c>
      <c r="B34" s="21" t="s">
        <v>214</v>
      </c>
      <c r="C34" s="21" t="s">
        <v>213</v>
      </c>
      <c r="D34" s="15" t="str">
        <f t="shared" si="2"/>
        <v>Gia Lai</v>
      </c>
      <c r="E34" s="15" t="s">
        <v>657</v>
      </c>
      <c r="F34" s="15"/>
      <c r="G34" s="109"/>
      <c r="H34" s="11">
        <v>0</v>
      </c>
      <c r="I34" s="11">
        <v>1372000</v>
      </c>
      <c r="J34" s="11">
        <v>1307000</v>
      </c>
      <c r="K34" s="11">
        <v>1372000</v>
      </c>
      <c r="L34" s="11">
        <v>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63" x14ac:dyDescent="0.25">
      <c r="A35" s="9">
        <f t="shared" si="1"/>
        <v>7</v>
      </c>
      <c r="B35" s="21" t="s">
        <v>169</v>
      </c>
      <c r="C35" s="21" t="s">
        <v>168</v>
      </c>
      <c r="D35" s="15" t="s">
        <v>638</v>
      </c>
      <c r="E35" s="15" t="s">
        <v>690</v>
      </c>
      <c r="F35" s="15"/>
      <c r="G35" s="109"/>
      <c r="H35" s="11">
        <v>1328000</v>
      </c>
      <c r="I35" s="11">
        <v>418000</v>
      </c>
      <c r="J35" s="11">
        <v>392000</v>
      </c>
      <c r="K35" s="11">
        <v>0</v>
      </c>
      <c r="L35" s="11">
        <v>510000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x14ac:dyDescent="0.25">
      <c r="A36" s="9">
        <f t="shared" si="1"/>
        <v>8</v>
      </c>
      <c r="B36" s="21" t="s">
        <v>171</v>
      </c>
      <c r="C36" s="21" t="s">
        <v>170</v>
      </c>
      <c r="D36" s="15" t="s">
        <v>638</v>
      </c>
      <c r="E36" s="15" t="s">
        <v>658</v>
      </c>
      <c r="F36" s="15"/>
      <c r="G36" s="109"/>
      <c r="H36" s="11">
        <v>1608000</v>
      </c>
      <c r="I36" s="11">
        <v>444000</v>
      </c>
      <c r="J36" s="11">
        <v>405000</v>
      </c>
      <c r="K36" s="11">
        <v>0</v>
      </c>
      <c r="L36" s="11">
        <v>535000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63" x14ac:dyDescent="0.25">
      <c r="A37" s="9">
        <f t="shared" si="1"/>
        <v>9</v>
      </c>
      <c r="B37" s="21" t="s">
        <v>173</v>
      </c>
      <c r="C37" s="21" t="s">
        <v>172</v>
      </c>
      <c r="D37" s="15" t="s">
        <v>638</v>
      </c>
      <c r="E37" s="15" t="s">
        <v>659</v>
      </c>
      <c r="F37" s="15"/>
      <c r="G37" s="109"/>
      <c r="H37" s="11">
        <v>1106000</v>
      </c>
      <c r="I37" s="11">
        <v>367000</v>
      </c>
      <c r="J37" s="11">
        <v>341000</v>
      </c>
      <c r="K37" s="11">
        <v>0</v>
      </c>
      <c r="L37" s="11">
        <v>458000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31.5" x14ac:dyDescent="0.25">
      <c r="A38" s="9">
        <f t="shared" si="1"/>
        <v>10</v>
      </c>
      <c r="B38" s="21" t="s">
        <v>174</v>
      </c>
      <c r="C38" s="21" t="s">
        <v>10</v>
      </c>
      <c r="D38" s="15" t="str">
        <f t="shared" si="2"/>
        <v>Đồng Nai</v>
      </c>
      <c r="E38" s="15" t="s">
        <v>660</v>
      </c>
      <c r="F38" s="15"/>
      <c r="G38" s="109"/>
      <c r="H38" s="11">
        <v>0</v>
      </c>
      <c r="I38" s="11">
        <v>588000</v>
      </c>
      <c r="J38" s="11">
        <v>522000</v>
      </c>
      <c r="K38" s="11">
        <v>0</v>
      </c>
      <c r="L38" s="11">
        <v>720000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x14ac:dyDescent="0.25">
      <c r="A39" s="9">
        <f t="shared" si="1"/>
        <v>11</v>
      </c>
      <c r="B39" s="21" t="s">
        <v>216</v>
      </c>
      <c r="C39" s="21" t="s">
        <v>215</v>
      </c>
      <c r="D39" s="15" t="str">
        <f t="shared" si="2"/>
        <v>Lâm Đồng</v>
      </c>
      <c r="E39" s="15" t="s">
        <v>59</v>
      </c>
      <c r="F39" s="15"/>
      <c r="G39" s="109"/>
      <c r="H39" s="11">
        <v>0</v>
      </c>
      <c r="I39" s="11">
        <v>522000</v>
      </c>
      <c r="J39" s="11">
        <v>510000</v>
      </c>
      <c r="K39" s="11">
        <v>0</v>
      </c>
      <c r="L39" s="11">
        <v>679000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1.5" x14ac:dyDescent="0.25">
      <c r="A40" s="9">
        <f t="shared" si="1"/>
        <v>12</v>
      </c>
      <c r="B40" s="21" t="s">
        <v>218</v>
      </c>
      <c r="C40" s="21" t="s">
        <v>217</v>
      </c>
      <c r="D40" s="15" t="str">
        <f t="shared" si="2"/>
        <v>Lâm Đồng</v>
      </c>
      <c r="E40" s="15" t="s">
        <v>661</v>
      </c>
      <c r="F40" s="15"/>
      <c r="G40" s="109"/>
      <c r="H40" s="11">
        <v>0</v>
      </c>
      <c r="I40" s="11">
        <v>575000</v>
      </c>
      <c r="J40" s="11">
        <v>522000</v>
      </c>
      <c r="K40" s="11">
        <v>0</v>
      </c>
      <c r="L40" s="11">
        <v>720000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x14ac:dyDescent="0.25">
      <c r="A41" s="9">
        <f t="shared" si="1"/>
        <v>13</v>
      </c>
      <c r="B41" s="21" t="s">
        <v>220</v>
      </c>
      <c r="C41" s="21" t="s">
        <v>219</v>
      </c>
      <c r="D41" s="15" t="str">
        <f t="shared" si="2"/>
        <v>Lâm Đồng</v>
      </c>
      <c r="E41" s="15" t="s">
        <v>332</v>
      </c>
      <c r="F41" s="15"/>
      <c r="G41" s="109"/>
      <c r="H41" s="11">
        <v>0</v>
      </c>
      <c r="I41" s="11">
        <v>679000</v>
      </c>
      <c r="J41" s="11">
        <v>628000</v>
      </c>
      <c r="K41" s="11">
        <v>0</v>
      </c>
      <c r="L41" s="11">
        <v>889000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x14ac:dyDescent="0.25">
      <c r="A42" s="9">
        <f t="shared" si="1"/>
        <v>14</v>
      </c>
      <c r="B42" s="21" t="s">
        <v>32</v>
      </c>
      <c r="C42" s="21" t="s">
        <v>32</v>
      </c>
      <c r="D42" s="15" t="s">
        <v>32</v>
      </c>
      <c r="E42" s="15"/>
      <c r="F42" s="15"/>
      <c r="G42" s="109"/>
      <c r="H42" s="11">
        <v>0</v>
      </c>
      <c r="I42" s="11">
        <v>732000</v>
      </c>
      <c r="J42" s="11">
        <v>679000</v>
      </c>
      <c r="K42" s="11">
        <v>575000</v>
      </c>
      <c r="L42" s="11">
        <v>941000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x14ac:dyDescent="0.25">
      <c r="A43" s="9">
        <f t="shared" si="1"/>
        <v>15</v>
      </c>
      <c r="B43" s="21" t="s">
        <v>221</v>
      </c>
      <c r="C43" s="21" t="s">
        <v>221</v>
      </c>
      <c r="D43" s="15" t="str">
        <f t="shared" si="2"/>
        <v>Cà Mau</v>
      </c>
      <c r="E43" s="15" t="s">
        <v>62</v>
      </c>
      <c r="F43" s="15"/>
      <c r="G43" s="109"/>
      <c r="H43" s="11">
        <v>0</v>
      </c>
      <c r="I43" s="11">
        <v>784000</v>
      </c>
      <c r="J43" s="11">
        <v>732000</v>
      </c>
      <c r="K43" s="11">
        <v>654000</v>
      </c>
      <c r="L43" s="11">
        <v>980000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x14ac:dyDescent="0.25">
      <c r="A44" s="9">
        <f t="shared" si="1"/>
        <v>16</v>
      </c>
      <c r="B44" s="21" t="s">
        <v>20</v>
      </c>
      <c r="C44" s="21" t="s">
        <v>20</v>
      </c>
      <c r="D44" s="15" t="s">
        <v>20</v>
      </c>
      <c r="E44" s="15"/>
      <c r="F44" s="15"/>
      <c r="G44" s="109"/>
      <c r="H44" s="11">
        <v>0</v>
      </c>
      <c r="I44" s="11">
        <v>484000</v>
      </c>
      <c r="J44" s="11">
        <v>444000</v>
      </c>
      <c r="K44" s="11">
        <v>392000</v>
      </c>
      <c r="L44" s="11">
        <v>628000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x14ac:dyDescent="0.25">
      <c r="A45" s="9">
        <f t="shared" si="1"/>
        <v>17</v>
      </c>
      <c r="B45" s="21" t="s">
        <v>223</v>
      </c>
      <c r="C45" s="21" t="s">
        <v>222</v>
      </c>
      <c r="D45" s="15" t="str">
        <f t="shared" si="2"/>
        <v>Cần Thơ</v>
      </c>
      <c r="E45" s="15" t="s">
        <v>662</v>
      </c>
      <c r="F45" s="15"/>
      <c r="G45" s="109"/>
      <c r="H45" s="11">
        <v>0</v>
      </c>
      <c r="I45" s="11">
        <v>522000</v>
      </c>
      <c r="J45" s="11">
        <v>484000</v>
      </c>
      <c r="K45" s="11">
        <v>458000</v>
      </c>
      <c r="L45" s="11">
        <v>720000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x14ac:dyDescent="0.25">
      <c r="A46" s="9">
        <f t="shared" si="1"/>
        <v>18</v>
      </c>
      <c r="B46" s="21" t="s">
        <v>225</v>
      </c>
      <c r="C46" s="21" t="s">
        <v>224</v>
      </c>
      <c r="D46" s="15" t="str">
        <f t="shared" si="2"/>
        <v>Cần Thơ</v>
      </c>
      <c r="E46" s="15" t="s">
        <v>663</v>
      </c>
      <c r="F46" s="15"/>
      <c r="G46" s="109"/>
      <c r="H46" s="11">
        <v>0</v>
      </c>
      <c r="I46" s="11">
        <v>575000</v>
      </c>
      <c r="J46" s="11">
        <v>496000</v>
      </c>
      <c r="K46" s="11">
        <v>418000</v>
      </c>
      <c r="L46" s="11">
        <v>720000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x14ac:dyDescent="0.25">
      <c r="A47" s="9">
        <f t="shared" si="1"/>
        <v>19</v>
      </c>
      <c r="B47" s="21" t="s">
        <v>15</v>
      </c>
      <c r="C47" s="21" t="s">
        <v>15</v>
      </c>
      <c r="D47" s="15" t="s">
        <v>15</v>
      </c>
      <c r="E47" s="15"/>
      <c r="F47" s="15"/>
      <c r="G47" s="109"/>
      <c r="H47" s="11">
        <v>0</v>
      </c>
      <c r="I47" s="11">
        <v>1700000</v>
      </c>
      <c r="J47" s="11">
        <v>1633000</v>
      </c>
      <c r="K47" s="11">
        <v>0</v>
      </c>
      <c r="L47" s="11">
        <v>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x14ac:dyDescent="0.25">
      <c r="A48" s="9">
        <f t="shared" si="1"/>
        <v>20</v>
      </c>
      <c r="B48" s="21" t="s">
        <v>120</v>
      </c>
      <c r="C48" s="21" t="s">
        <v>227</v>
      </c>
      <c r="D48" s="21" t="s">
        <v>120</v>
      </c>
      <c r="E48" s="15"/>
      <c r="F48" s="15"/>
      <c r="G48" s="109"/>
      <c r="H48" s="11">
        <v>0</v>
      </c>
      <c r="I48" s="11">
        <v>1046000</v>
      </c>
      <c r="J48" s="11">
        <v>1020000</v>
      </c>
      <c r="K48" s="11">
        <v>0</v>
      </c>
      <c r="L48" s="11">
        <v>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x14ac:dyDescent="0.25">
      <c r="A49" s="9">
        <f t="shared" si="1"/>
        <v>21</v>
      </c>
      <c r="B49" s="21" t="s">
        <v>229</v>
      </c>
      <c r="C49" s="21" t="s">
        <v>228</v>
      </c>
      <c r="D49" s="21" t="s">
        <v>120</v>
      </c>
      <c r="E49" s="15" t="s">
        <v>66</v>
      </c>
      <c r="F49" s="15"/>
      <c r="G49" s="109"/>
      <c r="H49" s="11">
        <v>0</v>
      </c>
      <c r="I49" s="11">
        <v>1110000</v>
      </c>
      <c r="J49" s="11">
        <v>1072000</v>
      </c>
      <c r="K49" s="11">
        <v>0</v>
      </c>
      <c r="L49" s="11">
        <v>0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x14ac:dyDescent="0.25">
      <c r="A50" s="9">
        <f t="shared" si="1"/>
        <v>22</v>
      </c>
      <c r="B50" s="21" t="s">
        <v>231</v>
      </c>
      <c r="C50" s="21" t="s">
        <v>230</v>
      </c>
      <c r="D50" s="15" t="str">
        <f t="shared" si="2"/>
        <v>Lâm Đồng</v>
      </c>
      <c r="E50" s="15" t="s">
        <v>336</v>
      </c>
      <c r="F50" s="15"/>
      <c r="G50" s="109"/>
      <c r="H50" s="11">
        <v>0</v>
      </c>
      <c r="I50" s="11">
        <v>980000</v>
      </c>
      <c r="J50" s="11">
        <v>967000</v>
      </c>
      <c r="K50" s="11">
        <v>0</v>
      </c>
      <c r="L50" s="11">
        <v>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x14ac:dyDescent="0.25">
      <c r="A51" s="9">
        <f t="shared" si="1"/>
        <v>23</v>
      </c>
      <c r="B51" s="21" t="s">
        <v>233</v>
      </c>
      <c r="C51" s="21" t="s">
        <v>232</v>
      </c>
      <c r="D51" s="15" t="str">
        <f t="shared" si="2"/>
        <v>Lâm Đồng</v>
      </c>
      <c r="E51" s="15" t="s">
        <v>337</v>
      </c>
      <c r="F51" s="15"/>
      <c r="G51" s="109"/>
      <c r="H51" s="11">
        <v>0</v>
      </c>
      <c r="I51" s="11">
        <v>1020000</v>
      </c>
      <c r="J51" s="11">
        <v>993000</v>
      </c>
      <c r="K51" s="11">
        <v>0</v>
      </c>
      <c r="L51" s="11">
        <v>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47.25" x14ac:dyDescent="0.25">
      <c r="A52" s="9">
        <f t="shared" si="1"/>
        <v>24</v>
      </c>
      <c r="B52" s="21" t="s">
        <v>176</v>
      </c>
      <c r="C52" s="21" t="s">
        <v>175</v>
      </c>
      <c r="D52" s="15" t="str">
        <f t="shared" si="2"/>
        <v>Đồng Nai</v>
      </c>
      <c r="E52" s="15" t="s">
        <v>664</v>
      </c>
      <c r="F52" s="15"/>
      <c r="G52" s="109"/>
      <c r="H52" s="11">
        <v>1156000</v>
      </c>
      <c r="I52" s="11">
        <v>367000</v>
      </c>
      <c r="J52" s="11">
        <v>326000</v>
      </c>
      <c r="K52" s="11">
        <v>0</v>
      </c>
      <c r="L52" s="11">
        <v>392000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31.5" x14ac:dyDescent="0.25">
      <c r="A53" s="9">
        <f t="shared" si="1"/>
        <v>25</v>
      </c>
      <c r="B53" s="21" t="s">
        <v>178</v>
      </c>
      <c r="C53" s="21" t="s">
        <v>177</v>
      </c>
      <c r="D53" s="15" t="str">
        <f t="shared" si="2"/>
        <v>Đồng Nai</v>
      </c>
      <c r="E53" s="15" t="s">
        <v>665</v>
      </c>
      <c r="F53" s="15"/>
      <c r="G53" s="109"/>
      <c r="H53" s="11">
        <v>2011000</v>
      </c>
      <c r="I53" s="11">
        <v>491000</v>
      </c>
      <c r="J53" s="11">
        <v>470000</v>
      </c>
      <c r="K53" s="11">
        <v>444000</v>
      </c>
      <c r="L53" s="11">
        <v>628000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31.5" x14ac:dyDescent="0.25">
      <c r="A54" s="9">
        <f t="shared" si="1"/>
        <v>26</v>
      </c>
      <c r="B54" s="21" t="s">
        <v>181</v>
      </c>
      <c r="C54" s="21" t="s">
        <v>180</v>
      </c>
      <c r="D54" s="15" t="str">
        <f t="shared" si="2"/>
        <v>Đồng Nai</v>
      </c>
      <c r="E54" s="15" t="s">
        <v>666</v>
      </c>
      <c r="F54" s="15"/>
      <c r="G54" s="109"/>
      <c r="H54" s="11">
        <v>1709000</v>
      </c>
      <c r="I54" s="11">
        <v>438000</v>
      </c>
      <c r="J54" s="11">
        <v>359000</v>
      </c>
      <c r="K54" s="11">
        <v>300000</v>
      </c>
      <c r="L54" s="11">
        <v>535000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x14ac:dyDescent="0.25">
      <c r="A55" s="9">
        <f t="shared" si="1"/>
        <v>27</v>
      </c>
      <c r="B55" s="21" t="s">
        <v>235</v>
      </c>
      <c r="C55" s="21" t="s">
        <v>234</v>
      </c>
      <c r="D55" s="15" t="str">
        <f t="shared" si="2"/>
        <v>Đồng Tháp</v>
      </c>
      <c r="E55" s="15" t="s">
        <v>667</v>
      </c>
      <c r="F55" s="15"/>
      <c r="G55" s="109"/>
      <c r="H55" s="11">
        <v>0</v>
      </c>
      <c r="I55" s="11">
        <v>491000</v>
      </c>
      <c r="J55" s="11">
        <v>432000</v>
      </c>
      <c r="K55" s="11">
        <v>392000</v>
      </c>
      <c r="L55" s="11">
        <v>614000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x14ac:dyDescent="0.25">
      <c r="A56" s="9">
        <f t="shared" si="1"/>
        <v>28</v>
      </c>
      <c r="B56" s="21" t="s">
        <v>237</v>
      </c>
      <c r="C56" s="21" t="s">
        <v>236</v>
      </c>
      <c r="D56" s="15" t="str">
        <f t="shared" si="2"/>
        <v>Đồng Tháp</v>
      </c>
      <c r="E56" s="15" t="s">
        <v>668</v>
      </c>
      <c r="F56" s="15"/>
      <c r="G56" s="109"/>
      <c r="H56" s="11">
        <v>0</v>
      </c>
      <c r="I56" s="11">
        <v>522000</v>
      </c>
      <c r="J56" s="11">
        <v>470000</v>
      </c>
      <c r="K56" s="11">
        <v>444000</v>
      </c>
      <c r="L56" s="11">
        <v>654000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x14ac:dyDescent="0.25">
      <c r="A57" s="9">
        <f t="shared" si="1"/>
        <v>29</v>
      </c>
      <c r="B57" s="21" t="s">
        <v>239</v>
      </c>
      <c r="C57" s="21" t="s">
        <v>238</v>
      </c>
      <c r="D57" s="15" t="str">
        <f t="shared" si="2"/>
        <v>Đồng Tháp</v>
      </c>
      <c r="E57" s="15" t="s">
        <v>669</v>
      </c>
      <c r="F57" s="15"/>
      <c r="G57" s="109"/>
      <c r="H57" s="11">
        <v>0</v>
      </c>
      <c r="I57" s="11">
        <v>458000</v>
      </c>
      <c r="J57" s="11">
        <v>405000</v>
      </c>
      <c r="K57" s="11">
        <v>392000</v>
      </c>
      <c r="L57" s="11">
        <v>535000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x14ac:dyDescent="0.25">
      <c r="A58" s="9">
        <f t="shared" si="1"/>
        <v>30</v>
      </c>
      <c r="B58" s="21" t="s">
        <v>240</v>
      </c>
      <c r="C58" s="21" t="s">
        <v>240</v>
      </c>
      <c r="D58" s="15" t="str">
        <f t="shared" si="2"/>
        <v>Gia Lai</v>
      </c>
      <c r="E58" s="15" t="s">
        <v>84</v>
      </c>
      <c r="F58" s="15"/>
      <c r="G58" s="109"/>
      <c r="H58" s="11">
        <v>0</v>
      </c>
      <c r="I58" s="11">
        <v>1438000</v>
      </c>
      <c r="J58" s="11">
        <v>1372000</v>
      </c>
      <c r="K58" s="11">
        <v>1359000</v>
      </c>
      <c r="L58" s="11">
        <v>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x14ac:dyDescent="0.25">
      <c r="A59" s="9">
        <f t="shared" si="1"/>
        <v>31</v>
      </c>
      <c r="B59" s="21" t="s">
        <v>242</v>
      </c>
      <c r="C59" s="21" t="s">
        <v>241</v>
      </c>
      <c r="D59" s="15" t="str">
        <f t="shared" si="2"/>
        <v>Gia Lai</v>
      </c>
      <c r="E59" s="15" t="s">
        <v>691</v>
      </c>
      <c r="F59" s="15"/>
      <c r="G59" s="109"/>
      <c r="H59" s="11">
        <v>0</v>
      </c>
      <c r="I59" s="11">
        <v>1307000</v>
      </c>
      <c r="J59" s="11">
        <v>1295000</v>
      </c>
      <c r="K59" s="11">
        <v>0</v>
      </c>
      <c r="L59" s="11">
        <v>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x14ac:dyDescent="0.25">
      <c r="A60" s="9">
        <f t="shared" si="1"/>
        <v>32</v>
      </c>
      <c r="B60" s="21" t="s">
        <v>244</v>
      </c>
      <c r="C60" s="21" t="s">
        <v>243</v>
      </c>
      <c r="D60" s="15" t="str">
        <f t="shared" si="2"/>
        <v>Gia Lai</v>
      </c>
      <c r="E60" s="15" t="s">
        <v>670</v>
      </c>
      <c r="F60" s="15"/>
      <c r="G60" s="109"/>
      <c r="H60" s="11">
        <v>0</v>
      </c>
      <c r="I60" s="11">
        <v>1242000</v>
      </c>
      <c r="J60" s="11">
        <v>1228000</v>
      </c>
      <c r="K60" s="11">
        <v>1216000</v>
      </c>
      <c r="L60" s="11">
        <v>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31.5" x14ac:dyDescent="0.25">
      <c r="A61" s="9">
        <f t="shared" si="1"/>
        <v>33</v>
      </c>
      <c r="B61" s="21" t="s">
        <v>245</v>
      </c>
      <c r="C61" s="21" t="s">
        <v>28</v>
      </c>
      <c r="D61" s="15" t="str">
        <f t="shared" si="2"/>
        <v>Cần Thơ</v>
      </c>
      <c r="E61" s="15" t="s">
        <v>671</v>
      </c>
      <c r="F61" s="15"/>
      <c r="G61" s="109"/>
      <c r="H61" s="11">
        <v>0</v>
      </c>
      <c r="I61" s="11">
        <v>522000</v>
      </c>
      <c r="J61" s="11">
        <v>484000</v>
      </c>
      <c r="K61" s="11">
        <v>462000</v>
      </c>
      <c r="L61" s="11">
        <v>641000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x14ac:dyDescent="0.25">
      <c r="A62" s="9">
        <f t="shared" si="1"/>
        <v>34</v>
      </c>
      <c r="B62" s="21" t="s">
        <v>161</v>
      </c>
      <c r="C62" s="21" t="s">
        <v>30</v>
      </c>
      <c r="D62" s="15" t="s">
        <v>638</v>
      </c>
      <c r="E62" s="15" t="s">
        <v>638</v>
      </c>
      <c r="F62" s="15"/>
      <c r="G62" s="109"/>
      <c r="H62" s="11">
        <v>895000</v>
      </c>
      <c r="I62" s="11">
        <v>341000</v>
      </c>
      <c r="J62" s="11">
        <v>314000</v>
      </c>
      <c r="K62" s="11">
        <v>288000</v>
      </c>
      <c r="L62" s="11">
        <v>341000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x14ac:dyDescent="0.25">
      <c r="A63" s="9">
        <f t="shared" si="1"/>
        <v>35</v>
      </c>
      <c r="B63" s="21" t="s">
        <v>162</v>
      </c>
      <c r="C63" s="21" t="s">
        <v>246</v>
      </c>
      <c r="D63" s="15" t="s">
        <v>638</v>
      </c>
      <c r="E63" s="15"/>
      <c r="F63" s="15"/>
      <c r="G63" s="109" t="s">
        <v>366</v>
      </c>
      <c r="H63" s="11">
        <v>0</v>
      </c>
      <c r="I63" s="11">
        <v>418000</v>
      </c>
      <c r="J63" s="11">
        <v>392000</v>
      </c>
      <c r="K63" s="11">
        <v>0</v>
      </c>
      <c r="L63" s="11">
        <v>444000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31.5" x14ac:dyDescent="0.25">
      <c r="A64" s="9">
        <f t="shared" si="1"/>
        <v>36</v>
      </c>
      <c r="B64" s="21" t="s">
        <v>184</v>
      </c>
      <c r="C64" s="21" t="s">
        <v>247</v>
      </c>
      <c r="D64" s="15" t="s">
        <v>638</v>
      </c>
      <c r="E64" s="15" t="s">
        <v>672</v>
      </c>
      <c r="F64" s="15"/>
      <c r="G64" s="109"/>
      <c r="H64" s="11">
        <v>1106000</v>
      </c>
      <c r="I64" s="11">
        <v>385000</v>
      </c>
      <c r="J64" s="11">
        <v>367000</v>
      </c>
      <c r="K64" s="11">
        <v>346000</v>
      </c>
      <c r="L64" s="11">
        <v>392000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x14ac:dyDescent="0.25">
      <c r="A65" s="9">
        <f t="shared" si="1"/>
        <v>37</v>
      </c>
      <c r="B65" s="21" t="s">
        <v>188</v>
      </c>
      <c r="C65" s="21" t="s">
        <v>248</v>
      </c>
      <c r="D65" s="15" t="s">
        <v>638</v>
      </c>
      <c r="E65" s="15"/>
      <c r="F65" s="15" t="s">
        <v>371</v>
      </c>
      <c r="G65" s="109"/>
      <c r="H65" s="11">
        <v>664000</v>
      </c>
      <c r="I65" s="11">
        <v>196000</v>
      </c>
      <c r="J65" s="11">
        <v>183000</v>
      </c>
      <c r="K65" s="11">
        <v>170000</v>
      </c>
      <c r="L65" s="11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x14ac:dyDescent="0.25">
      <c r="A66" s="9">
        <f t="shared" si="1"/>
        <v>38</v>
      </c>
      <c r="B66" s="21" t="s">
        <v>16</v>
      </c>
      <c r="C66" s="21" t="s">
        <v>16</v>
      </c>
      <c r="D66" s="15" t="s">
        <v>16</v>
      </c>
      <c r="E66" s="15"/>
      <c r="F66" s="15"/>
      <c r="G66" s="109"/>
      <c r="H66" s="11">
        <v>0</v>
      </c>
      <c r="I66" s="11">
        <v>2026000</v>
      </c>
      <c r="J66" s="11">
        <v>1895000</v>
      </c>
      <c r="K66" s="11">
        <v>0</v>
      </c>
      <c r="L66" s="11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x14ac:dyDescent="0.25">
      <c r="A67" s="9">
        <f t="shared" si="1"/>
        <v>39</v>
      </c>
      <c r="B67" s="21" t="s">
        <v>33</v>
      </c>
      <c r="C67" s="21" t="s">
        <v>33</v>
      </c>
      <c r="D67" s="15" t="s">
        <v>33</v>
      </c>
      <c r="E67" s="15"/>
      <c r="F67" s="15"/>
      <c r="G67" s="109"/>
      <c r="H67" s="11">
        <v>0</v>
      </c>
      <c r="I67" s="11">
        <v>889000</v>
      </c>
      <c r="J67" s="11">
        <v>849000</v>
      </c>
      <c r="K67" s="11">
        <v>810000</v>
      </c>
      <c r="L67" s="11">
        <v>1110000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x14ac:dyDescent="0.25">
      <c r="A68" s="9">
        <f t="shared" si="1"/>
        <v>40</v>
      </c>
      <c r="B68" s="21" t="s">
        <v>250</v>
      </c>
      <c r="C68" s="21" t="s">
        <v>249</v>
      </c>
      <c r="D68" s="15" t="str">
        <f t="shared" si="2"/>
        <v>Khánh Hòa</v>
      </c>
      <c r="E68" s="15" t="s">
        <v>673</v>
      </c>
      <c r="F68" s="15"/>
      <c r="G68" s="109"/>
      <c r="H68" s="11">
        <v>0</v>
      </c>
      <c r="I68" s="11">
        <v>823000</v>
      </c>
      <c r="J68" s="11">
        <v>784000</v>
      </c>
      <c r="K68" s="11">
        <v>772000</v>
      </c>
      <c r="L68" s="41">
        <v>1072000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x14ac:dyDescent="0.25">
      <c r="A69" s="9">
        <f t="shared" si="1"/>
        <v>41</v>
      </c>
      <c r="B69" s="21" t="s">
        <v>251</v>
      </c>
      <c r="C69" s="21" t="s">
        <v>23</v>
      </c>
      <c r="D69" s="15" t="str">
        <f t="shared" si="2"/>
        <v>An Giang</v>
      </c>
      <c r="E69" s="15" t="s">
        <v>674</v>
      </c>
      <c r="F69" s="15"/>
      <c r="G69" s="109"/>
      <c r="H69" s="11">
        <v>0</v>
      </c>
      <c r="I69" s="11">
        <v>628000</v>
      </c>
      <c r="J69" s="11">
        <v>549000</v>
      </c>
      <c r="K69" s="11">
        <v>522000</v>
      </c>
      <c r="L69" s="11">
        <v>810000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x14ac:dyDescent="0.25">
      <c r="A70" s="9">
        <f t="shared" si="1"/>
        <v>42</v>
      </c>
      <c r="B70" s="21" t="s">
        <v>253</v>
      </c>
      <c r="C70" s="21" t="s">
        <v>252</v>
      </c>
      <c r="D70" s="15" t="str">
        <f t="shared" si="2"/>
        <v>An Giang</v>
      </c>
      <c r="E70" s="15" t="s">
        <v>92</v>
      </c>
      <c r="F70" s="15"/>
      <c r="G70" s="109"/>
      <c r="H70" s="11">
        <v>0</v>
      </c>
      <c r="I70" s="11">
        <v>693000</v>
      </c>
      <c r="J70" s="11">
        <v>628000</v>
      </c>
      <c r="K70" s="11">
        <v>588000</v>
      </c>
      <c r="L70" s="11">
        <v>889000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x14ac:dyDescent="0.25">
      <c r="A71" s="9">
        <f t="shared" si="1"/>
        <v>43</v>
      </c>
      <c r="B71" s="21" t="s">
        <v>255</v>
      </c>
      <c r="C71" s="21" t="s">
        <v>254</v>
      </c>
      <c r="D71" s="15" t="str">
        <f t="shared" si="2"/>
        <v>An Giang</v>
      </c>
      <c r="E71" s="15" t="s">
        <v>602</v>
      </c>
      <c r="F71" s="15"/>
      <c r="G71" s="109"/>
      <c r="H71" s="11">
        <v>0</v>
      </c>
      <c r="I71" s="11">
        <v>1568000</v>
      </c>
      <c r="J71" s="11">
        <v>1504000</v>
      </c>
      <c r="K71" s="11">
        <v>1418000</v>
      </c>
      <c r="L71" s="11">
        <v>0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x14ac:dyDescent="0.25">
      <c r="A72" s="9">
        <f t="shared" si="1"/>
        <v>44</v>
      </c>
      <c r="B72" s="21" t="s">
        <v>256</v>
      </c>
      <c r="C72" s="21" t="s">
        <v>11</v>
      </c>
      <c r="D72" s="15" t="str">
        <f t="shared" si="2"/>
        <v>Quảng Ngãi</v>
      </c>
      <c r="E72" s="15" t="s">
        <v>675</v>
      </c>
      <c r="F72" s="15"/>
      <c r="G72" s="109"/>
      <c r="H72" s="11">
        <v>0</v>
      </c>
      <c r="I72" s="11">
        <v>1438000</v>
      </c>
      <c r="J72" s="11">
        <v>1425000</v>
      </c>
      <c r="K72" s="11">
        <v>1412000</v>
      </c>
      <c r="L72" s="11">
        <v>0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x14ac:dyDescent="0.25">
      <c r="A73" s="9">
        <f t="shared" si="1"/>
        <v>45</v>
      </c>
      <c r="B73" s="21" t="s">
        <v>258</v>
      </c>
      <c r="C73" s="21" t="s">
        <v>257</v>
      </c>
      <c r="D73" s="15" t="str">
        <f t="shared" si="2"/>
        <v>Lâm Đồng</v>
      </c>
      <c r="E73" s="15" t="s">
        <v>676</v>
      </c>
      <c r="F73" s="15"/>
      <c r="G73" s="109"/>
      <c r="H73" s="11">
        <v>0</v>
      </c>
      <c r="I73" s="11">
        <v>588000</v>
      </c>
      <c r="J73" s="11">
        <v>549000</v>
      </c>
      <c r="K73" s="11">
        <v>522000</v>
      </c>
      <c r="L73" s="11">
        <v>784000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31.5" x14ac:dyDescent="0.25">
      <c r="A74" s="9">
        <f t="shared" si="1"/>
        <v>46</v>
      </c>
      <c r="B74" s="21" t="s">
        <v>260</v>
      </c>
      <c r="C74" s="21" t="s">
        <v>259</v>
      </c>
      <c r="D74" s="15" t="str">
        <f t="shared" si="2"/>
        <v>Lâm Đồng</v>
      </c>
      <c r="E74" s="15" t="s">
        <v>692</v>
      </c>
      <c r="F74" s="15"/>
      <c r="G74" s="109"/>
      <c r="H74" s="11">
        <v>0</v>
      </c>
      <c r="I74" s="11">
        <v>746000</v>
      </c>
      <c r="J74" s="11">
        <v>679000</v>
      </c>
      <c r="K74" s="11">
        <v>667000</v>
      </c>
      <c r="L74" s="11">
        <v>967000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x14ac:dyDescent="0.25">
      <c r="A75" s="9">
        <f t="shared" si="1"/>
        <v>47</v>
      </c>
      <c r="B75" s="21" t="s">
        <v>262</v>
      </c>
      <c r="C75" s="21" t="s">
        <v>261</v>
      </c>
      <c r="D75" s="15" t="str">
        <f t="shared" si="2"/>
        <v>Lâm Đồng</v>
      </c>
      <c r="E75" s="15" t="s">
        <v>693</v>
      </c>
      <c r="F75" s="15"/>
      <c r="G75" s="109"/>
      <c r="H75" s="11">
        <v>0</v>
      </c>
      <c r="I75" s="11">
        <v>705000</v>
      </c>
      <c r="J75" s="11">
        <v>654000</v>
      </c>
      <c r="K75" s="11">
        <v>628000</v>
      </c>
      <c r="L75" s="11">
        <v>916000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63" x14ac:dyDescent="0.25">
      <c r="A76" s="9">
        <f t="shared" si="1"/>
        <v>48</v>
      </c>
      <c r="B76" s="21" t="s">
        <v>263</v>
      </c>
      <c r="C76" s="21" t="s">
        <v>8</v>
      </c>
      <c r="D76" s="15" t="str">
        <f t="shared" si="2"/>
        <v>Tây Ninh</v>
      </c>
      <c r="E76" s="15" t="s">
        <v>677</v>
      </c>
      <c r="F76" s="15"/>
      <c r="G76" s="109"/>
      <c r="H76" s="11">
        <v>1156000</v>
      </c>
      <c r="I76" s="11">
        <v>367000</v>
      </c>
      <c r="J76" s="11">
        <v>341000</v>
      </c>
      <c r="K76" s="11">
        <v>326000</v>
      </c>
      <c r="L76" s="11">
        <v>418000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x14ac:dyDescent="0.25">
      <c r="A77" s="9">
        <f t="shared" si="1"/>
        <v>49</v>
      </c>
      <c r="B77" s="21" t="s">
        <v>191</v>
      </c>
      <c r="C77" s="21" t="s">
        <v>190</v>
      </c>
      <c r="D77" s="15" t="str">
        <f t="shared" si="2"/>
        <v>Tây Ninh</v>
      </c>
      <c r="E77" s="15" t="s">
        <v>98</v>
      </c>
      <c r="F77" s="15"/>
      <c r="G77" s="109"/>
      <c r="H77" s="11">
        <v>723000</v>
      </c>
      <c r="I77" s="11">
        <v>326000</v>
      </c>
      <c r="J77" s="11">
        <v>314000</v>
      </c>
      <c r="K77" s="11">
        <v>300000</v>
      </c>
      <c r="L77" s="11">
        <v>0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x14ac:dyDescent="0.25">
      <c r="A78" s="9">
        <f t="shared" si="1"/>
        <v>50</v>
      </c>
      <c r="B78" s="21" t="s">
        <v>265</v>
      </c>
      <c r="C78" s="21" t="s">
        <v>264</v>
      </c>
      <c r="D78" s="15" t="str">
        <f t="shared" si="2"/>
        <v>Tây Ninh</v>
      </c>
      <c r="E78" s="15"/>
      <c r="F78" s="15" t="s">
        <v>678</v>
      </c>
      <c r="G78" s="109"/>
      <c r="H78" s="11">
        <v>1407000</v>
      </c>
      <c r="I78" s="11">
        <v>470000</v>
      </c>
      <c r="J78" s="11">
        <v>392000</v>
      </c>
      <c r="K78" s="11">
        <v>367000</v>
      </c>
      <c r="L78" s="11">
        <v>0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x14ac:dyDescent="0.25">
      <c r="A79" s="9">
        <f t="shared" si="1"/>
        <v>51</v>
      </c>
      <c r="B79" s="21" t="s">
        <v>266</v>
      </c>
      <c r="C79" s="21" t="s">
        <v>12</v>
      </c>
      <c r="D79" s="15" t="str">
        <f t="shared" si="2"/>
        <v>Khánh Hòa</v>
      </c>
      <c r="E79" s="15" t="s">
        <v>679</v>
      </c>
      <c r="F79" s="15"/>
      <c r="G79" s="109"/>
      <c r="H79" s="11">
        <v>0</v>
      </c>
      <c r="I79" s="11">
        <v>784000</v>
      </c>
      <c r="J79" s="11">
        <v>746000</v>
      </c>
      <c r="K79" s="11">
        <v>693000</v>
      </c>
      <c r="L79" s="11">
        <v>1098000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x14ac:dyDescent="0.25">
      <c r="A80" s="9">
        <f t="shared" si="1"/>
        <v>52</v>
      </c>
      <c r="B80" s="21" t="s">
        <v>267</v>
      </c>
      <c r="C80" s="21" t="s">
        <v>34</v>
      </c>
      <c r="D80" s="15" t="str">
        <f t="shared" si="2"/>
        <v>Đắk Lắk</v>
      </c>
      <c r="E80" s="15" t="s">
        <v>680</v>
      </c>
      <c r="F80" s="15"/>
      <c r="G80" s="109"/>
      <c r="H80" s="11">
        <v>0</v>
      </c>
      <c r="I80" s="11">
        <v>1177000</v>
      </c>
      <c r="J80" s="11">
        <v>1151000</v>
      </c>
      <c r="K80" s="11">
        <v>0</v>
      </c>
      <c r="L80" s="11">
        <v>0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31.5" x14ac:dyDescent="0.25">
      <c r="A81" s="9">
        <f t="shared" si="1"/>
        <v>53</v>
      </c>
      <c r="B81" s="21" t="s">
        <v>226</v>
      </c>
      <c r="C81" s="21" t="s">
        <v>14</v>
      </c>
      <c r="D81" s="15" t="str">
        <f t="shared" si="2"/>
        <v>Đà Nẵng</v>
      </c>
      <c r="E81" s="15" t="s">
        <v>681</v>
      </c>
      <c r="F81" s="15"/>
      <c r="G81" s="109"/>
      <c r="H81" s="11">
        <v>0</v>
      </c>
      <c r="I81" s="11">
        <v>1673000</v>
      </c>
      <c r="J81" s="11">
        <v>1659000</v>
      </c>
      <c r="K81" s="11">
        <v>0</v>
      </c>
      <c r="L81" s="11">
        <v>0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x14ac:dyDescent="0.25">
      <c r="A82" s="9">
        <f t="shared" si="1"/>
        <v>54</v>
      </c>
      <c r="B82" s="21" t="s">
        <v>13</v>
      </c>
      <c r="C82" s="21" t="s">
        <v>13</v>
      </c>
      <c r="D82" s="15" t="s">
        <v>13</v>
      </c>
      <c r="E82" s="15"/>
      <c r="F82" s="15"/>
      <c r="G82" s="109"/>
      <c r="H82" s="11">
        <v>0</v>
      </c>
      <c r="I82" s="11">
        <v>1633000</v>
      </c>
      <c r="J82" s="11">
        <v>1621000</v>
      </c>
      <c r="K82" s="11">
        <v>0</v>
      </c>
      <c r="L82" s="11">
        <v>0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x14ac:dyDescent="0.25">
      <c r="A83" s="9">
        <f t="shared" si="1"/>
        <v>55</v>
      </c>
      <c r="B83" s="21" t="s">
        <v>17</v>
      </c>
      <c r="C83" s="21" t="s">
        <v>17</v>
      </c>
      <c r="D83" s="21" t="s">
        <v>17</v>
      </c>
      <c r="E83" s="15"/>
      <c r="F83" s="15"/>
      <c r="G83" s="109"/>
      <c r="H83" s="11">
        <v>0</v>
      </c>
      <c r="I83" s="11">
        <v>2091000</v>
      </c>
      <c r="J83" s="11">
        <v>2026000</v>
      </c>
      <c r="K83" s="11">
        <v>0</v>
      </c>
      <c r="L83" s="11">
        <v>0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x14ac:dyDescent="0.25">
      <c r="A84" s="9">
        <f t="shared" si="1"/>
        <v>56</v>
      </c>
      <c r="B84" s="21" t="s">
        <v>268</v>
      </c>
      <c r="C84" s="21" t="s">
        <v>21</v>
      </c>
      <c r="D84" s="15" t="str">
        <f t="shared" si="2"/>
        <v>Cần Thơ</v>
      </c>
      <c r="E84" s="15" t="s">
        <v>682</v>
      </c>
      <c r="F84" s="15"/>
      <c r="G84" s="109"/>
      <c r="H84" s="11">
        <v>0</v>
      </c>
      <c r="I84" s="11">
        <v>601000</v>
      </c>
      <c r="J84" s="11">
        <v>562000</v>
      </c>
      <c r="K84" s="11">
        <v>496000</v>
      </c>
      <c r="L84" s="11">
        <v>705000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x14ac:dyDescent="0.25">
      <c r="A85" s="9">
        <f t="shared" si="1"/>
        <v>57</v>
      </c>
      <c r="B85" s="21" t="s">
        <v>9</v>
      </c>
      <c r="C85" s="21" t="s">
        <v>9</v>
      </c>
      <c r="D85" s="15" t="s">
        <v>9</v>
      </c>
      <c r="E85" s="15"/>
      <c r="F85" s="15"/>
      <c r="G85" s="109"/>
      <c r="H85" s="11">
        <v>0</v>
      </c>
      <c r="I85" s="11">
        <v>496000</v>
      </c>
      <c r="J85" s="11">
        <v>484000</v>
      </c>
      <c r="K85" s="11">
        <v>0</v>
      </c>
      <c r="L85" s="11">
        <v>614000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31.5" x14ac:dyDescent="0.25">
      <c r="A86" s="9">
        <f t="shared" si="1"/>
        <v>58</v>
      </c>
      <c r="B86" s="21" t="s">
        <v>269</v>
      </c>
      <c r="C86" s="21" t="s">
        <v>193</v>
      </c>
      <c r="D86" s="15" t="str">
        <f t="shared" si="2"/>
        <v>Tây Ninh</v>
      </c>
      <c r="E86" s="15" t="s">
        <v>683</v>
      </c>
      <c r="F86" s="15"/>
      <c r="G86" s="109"/>
      <c r="H86" s="11">
        <v>0</v>
      </c>
      <c r="I86" s="11">
        <v>496000</v>
      </c>
      <c r="J86" s="11">
        <v>484000</v>
      </c>
      <c r="K86" s="11">
        <v>0</v>
      </c>
      <c r="L86" s="11">
        <v>614000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31.5" x14ac:dyDescent="0.25">
      <c r="A87" s="9">
        <f t="shared" si="1"/>
        <v>59</v>
      </c>
      <c r="B87" s="21" t="s">
        <v>271</v>
      </c>
      <c r="C87" s="21" t="s">
        <v>270</v>
      </c>
      <c r="D87" s="15" t="str">
        <f t="shared" si="2"/>
        <v>Đồng Tháp</v>
      </c>
      <c r="E87" s="15" t="s">
        <v>684</v>
      </c>
      <c r="F87" s="15"/>
      <c r="G87" s="109"/>
      <c r="H87" s="11">
        <v>0</v>
      </c>
      <c r="I87" s="11">
        <v>484000</v>
      </c>
      <c r="J87" s="11">
        <v>470000</v>
      </c>
      <c r="K87" s="11">
        <v>458000</v>
      </c>
      <c r="L87" s="11">
        <v>614000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31.5" x14ac:dyDescent="0.25">
      <c r="A88" s="9">
        <f t="shared" si="1"/>
        <v>60</v>
      </c>
      <c r="B88" s="21" t="s">
        <v>273</v>
      </c>
      <c r="C88" s="21" t="s">
        <v>272</v>
      </c>
      <c r="D88" s="15" t="str">
        <f t="shared" si="2"/>
        <v>Đồng Tháp</v>
      </c>
      <c r="E88" s="15" t="s">
        <v>685</v>
      </c>
      <c r="F88" s="15"/>
      <c r="G88" s="109"/>
      <c r="H88" s="11">
        <v>0</v>
      </c>
      <c r="I88" s="11">
        <v>470000</v>
      </c>
      <c r="J88" s="11">
        <v>458000</v>
      </c>
      <c r="K88" s="11">
        <v>444000</v>
      </c>
      <c r="L88" s="11">
        <v>601000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x14ac:dyDescent="0.25">
      <c r="A89" s="9">
        <f t="shared" si="1"/>
        <v>61</v>
      </c>
      <c r="B89" s="21" t="s">
        <v>274</v>
      </c>
      <c r="C89" s="21" t="s">
        <v>35</v>
      </c>
      <c r="D89" s="15" t="str">
        <f t="shared" si="2"/>
        <v>Vĩnh Long</v>
      </c>
      <c r="E89" s="15" t="s">
        <v>686</v>
      </c>
      <c r="F89" s="15"/>
      <c r="G89" s="109"/>
      <c r="H89" s="11">
        <v>0</v>
      </c>
      <c r="I89" s="11">
        <v>562000</v>
      </c>
      <c r="J89" s="11">
        <v>549000</v>
      </c>
      <c r="K89" s="11">
        <v>458000</v>
      </c>
      <c r="L89" s="11">
        <v>720000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x14ac:dyDescent="0.25">
      <c r="A90" s="9">
        <f t="shared" si="1"/>
        <v>62</v>
      </c>
      <c r="B90" s="21" t="s">
        <v>19</v>
      </c>
      <c r="C90" s="21" t="s">
        <v>19</v>
      </c>
      <c r="D90" s="15" t="s">
        <v>19</v>
      </c>
      <c r="E90" s="15"/>
      <c r="F90" s="15"/>
      <c r="G90" s="109"/>
      <c r="H90" s="11">
        <v>0</v>
      </c>
      <c r="I90" s="11">
        <v>496000</v>
      </c>
      <c r="J90" s="11">
        <v>470000</v>
      </c>
      <c r="K90" s="11">
        <v>418000</v>
      </c>
      <c r="L90" s="11">
        <v>628000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x14ac:dyDescent="0.25">
      <c r="A91" s="9">
        <f t="shared" si="1"/>
        <v>63</v>
      </c>
      <c r="B91" s="21" t="s">
        <v>196</v>
      </c>
      <c r="C91" s="21" t="s">
        <v>195</v>
      </c>
      <c r="D91" s="15" t="s">
        <v>638</v>
      </c>
      <c r="E91" s="15" t="s">
        <v>687</v>
      </c>
      <c r="F91" s="15"/>
      <c r="G91" s="109"/>
      <c r="H91" s="11">
        <v>0</v>
      </c>
      <c r="I91" s="11">
        <v>458000</v>
      </c>
      <c r="J91" s="11">
        <v>432000</v>
      </c>
      <c r="K91" s="11">
        <v>326000</v>
      </c>
      <c r="L91" s="11">
        <v>535000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31.5" x14ac:dyDescent="0.25">
      <c r="A92" s="12">
        <f t="shared" si="1"/>
        <v>64</v>
      </c>
      <c r="B92" s="16" t="s">
        <v>198</v>
      </c>
      <c r="C92" s="16" t="s">
        <v>197</v>
      </c>
      <c r="D92" s="16" t="s">
        <v>638</v>
      </c>
      <c r="E92" s="16" t="s">
        <v>688</v>
      </c>
      <c r="F92" s="16"/>
      <c r="G92" s="16"/>
      <c r="H92" s="14">
        <v>0</v>
      </c>
      <c r="I92" s="14">
        <v>444000</v>
      </c>
      <c r="J92" s="14">
        <v>432000</v>
      </c>
      <c r="K92" s="14">
        <v>0</v>
      </c>
      <c r="L92" s="14">
        <v>510000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</sheetData>
  <mergeCells count="8">
    <mergeCell ref="H1:K1"/>
    <mergeCell ref="A27:A28"/>
    <mergeCell ref="B27:B28"/>
    <mergeCell ref="C27:C28"/>
    <mergeCell ref="H26:L26"/>
    <mergeCell ref="A2:A3"/>
    <mergeCell ref="B2:B3"/>
    <mergeCell ref="C2:C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511D9-F4EE-492F-B1BE-35686351A653}">
  <sheetPr>
    <pageSetUpPr fitToPage="1"/>
  </sheetPr>
  <dimension ref="A1:CN82"/>
  <sheetViews>
    <sheetView showZeros="0" zoomScale="85" zoomScaleNormal="85" workbookViewId="0">
      <pane xSplit="3" ySplit="3" topLeftCell="D57" activePane="bottomRight" state="frozen"/>
      <selection activeCell="CO62" sqref="CO62"/>
      <selection pane="topRight" activeCell="CO62" sqref="CO62"/>
      <selection pane="bottomLeft" activeCell="CO62" sqref="CO62"/>
      <selection pane="bottomRight" activeCell="E55" sqref="E55"/>
    </sheetView>
  </sheetViews>
  <sheetFormatPr defaultRowHeight="15.75" x14ac:dyDescent="0.25"/>
  <cols>
    <col min="1" max="1" width="9.140625" style="2"/>
    <col min="2" max="2" width="47.5703125" style="100" hidden="1" customWidth="1"/>
    <col min="3" max="7" width="45.7109375" style="3" customWidth="1"/>
    <col min="8" max="32" width="13.7109375" style="4" customWidth="1"/>
    <col min="33" max="42" width="13.7109375" style="4" hidden="1" customWidth="1"/>
    <col min="43" max="92" width="13.7109375" style="1" hidden="1" customWidth="1"/>
    <col min="93" max="309" width="13.7109375" style="1" customWidth="1"/>
    <col min="310" max="16384" width="9.140625" style="1"/>
  </cols>
  <sheetData>
    <row r="1" spans="1:42" x14ac:dyDescent="0.25">
      <c r="A1" s="1"/>
      <c r="C1" s="1">
        <f>100-3.8</f>
        <v>96.2</v>
      </c>
      <c r="D1" s="1"/>
      <c r="E1" s="1"/>
      <c r="F1" s="1"/>
      <c r="G1" s="1"/>
      <c r="H1" s="113" t="s">
        <v>427</v>
      </c>
      <c r="I1" s="137"/>
      <c r="J1" s="137"/>
      <c r="K1" s="137"/>
      <c r="L1" s="137"/>
      <c r="M1" s="137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47.25" x14ac:dyDescent="0.25">
      <c r="A2" s="115" t="s">
        <v>0</v>
      </c>
      <c r="B2" s="101" t="s">
        <v>556</v>
      </c>
      <c r="C2" s="115" t="s">
        <v>548</v>
      </c>
      <c r="D2" s="17" t="s">
        <v>599</v>
      </c>
      <c r="E2" s="17" t="s">
        <v>600</v>
      </c>
      <c r="F2" s="17" t="s">
        <v>639</v>
      </c>
      <c r="G2" s="17" t="s">
        <v>637</v>
      </c>
      <c r="H2" s="17" t="s">
        <v>2</v>
      </c>
      <c r="I2" s="24" t="s">
        <v>167</v>
      </c>
      <c r="J2" s="17" t="s">
        <v>3</v>
      </c>
      <c r="K2" s="17" t="s">
        <v>4</v>
      </c>
      <c r="L2" s="17" t="s">
        <v>5</v>
      </c>
      <c r="M2" s="17" t="s">
        <v>165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x14ac:dyDescent="0.25">
      <c r="A3" s="115"/>
      <c r="B3" s="101"/>
      <c r="C3" s="115"/>
      <c r="D3" s="5"/>
      <c r="E3" s="5"/>
      <c r="F3" s="5"/>
      <c r="G3" s="5"/>
      <c r="H3" s="5" t="s">
        <v>6</v>
      </c>
      <c r="I3" s="5" t="s">
        <v>7</v>
      </c>
      <c r="J3" s="5" t="s">
        <v>7</v>
      </c>
      <c r="K3" s="5" t="s">
        <v>7</v>
      </c>
      <c r="L3" s="5" t="s">
        <v>7</v>
      </c>
      <c r="M3" s="5" t="s">
        <v>6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x14ac:dyDescent="0.25">
      <c r="A4" s="6">
        <v>1</v>
      </c>
      <c r="B4" s="102" t="s">
        <v>435</v>
      </c>
      <c r="C4" s="15" t="s">
        <v>435</v>
      </c>
      <c r="D4" s="15" t="s">
        <v>27</v>
      </c>
      <c r="E4" s="15" t="s">
        <v>601</v>
      </c>
      <c r="F4" s="15"/>
      <c r="G4" s="15"/>
      <c r="H4" s="8">
        <v>0</v>
      </c>
      <c r="I4" s="8">
        <v>0</v>
      </c>
      <c r="J4" s="8">
        <v>570000</v>
      </c>
      <c r="K4" s="8">
        <v>458000</v>
      </c>
      <c r="L4" s="8">
        <v>392000</v>
      </c>
      <c r="M4" s="11">
        <v>522000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x14ac:dyDescent="0.25">
      <c r="A5" s="9">
        <f t="shared" ref="A5:A68" si="0">A4+1</f>
        <v>2</v>
      </c>
      <c r="B5" s="103" t="s">
        <v>154</v>
      </c>
      <c r="C5" s="21" t="s">
        <v>154</v>
      </c>
      <c r="D5" s="15" t="s">
        <v>27</v>
      </c>
      <c r="E5" s="15" t="s">
        <v>92</v>
      </c>
      <c r="F5" s="109"/>
      <c r="G5" s="109"/>
      <c r="H5" s="11">
        <v>0</v>
      </c>
      <c r="I5" s="11">
        <v>0</v>
      </c>
      <c r="J5" s="11">
        <v>693000</v>
      </c>
      <c r="K5" s="11">
        <v>628000</v>
      </c>
      <c r="L5" s="11">
        <v>588000</v>
      </c>
      <c r="M5" s="11">
        <v>684000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1:42" x14ac:dyDescent="0.25">
      <c r="A6" s="9">
        <f t="shared" si="0"/>
        <v>3</v>
      </c>
      <c r="B6" s="103" t="s">
        <v>38</v>
      </c>
      <c r="C6" s="21" t="s">
        <v>38</v>
      </c>
      <c r="D6" s="15" t="s">
        <v>27</v>
      </c>
      <c r="E6" s="15" t="s">
        <v>44</v>
      </c>
      <c r="F6" s="109"/>
      <c r="G6" s="109"/>
      <c r="H6" s="11">
        <v>0</v>
      </c>
      <c r="I6" s="11">
        <v>0</v>
      </c>
      <c r="J6" s="11">
        <v>608000</v>
      </c>
      <c r="K6" s="11">
        <v>570000</v>
      </c>
      <c r="L6" s="11">
        <v>484000</v>
      </c>
      <c r="M6" s="11">
        <v>583000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2" x14ac:dyDescent="0.25">
      <c r="A7" s="9">
        <f t="shared" si="0"/>
        <v>4</v>
      </c>
      <c r="B7" s="103" t="s">
        <v>133</v>
      </c>
      <c r="C7" s="138" t="s">
        <v>133</v>
      </c>
      <c r="D7" s="15" t="s">
        <v>27</v>
      </c>
      <c r="E7" s="15" t="s">
        <v>602</v>
      </c>
      <c r="F7" s="109"/>
      <c r="G7" s="109"/>
      <c r="H7" s="11">
        <v>0</v>
      </c>
      <c r="I7" s="11">
        <v>0</v>
      </c>
      <c r="J7" s="11">
        <v>1568000</v>
      </c>
      <c r="K7" s="11">
        <v>1504000</v>
      </c>
      <c r="L7" s="11">
        <v>1418000</v>
      </c>
      <c r="M7" s="1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pans="1:42" x14ac:dyDescent="0.25">
      <c r="A8" s="9">
        <f t="shared" si="0"/>
        <v>5</v>
      </c>
      <c r="B8" s="103" t="s">
        <v>132</v>
      </c>
      <c r="C8" s="21" t="s">
        <v>132</v>
      </c>
      <c r="D8" s="15" t="s">
        <v>27</v>
      </c>
      <c r="E8" s="15" t="s">
        <v>674</v>
      </c>
      <c r="F8" s="109"/>
      <c r="G8" s="109"/>
      <c r="H8" s="11">
        <v>0</v>
      </c>
      <c r="I8" s="11">
        <v>0</v>
      </c>
      <c r="J8" s="11">
        <v>628000</v>
      </c>
      <c r="K8" s="11">
        <v>549000</v>
      </c>
      <c r="L8" s="11">
        <v>522000</v>
      </c>
      <c r="M8" s="11">
        <v>623000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:42" x14ac:dyDescent="0.25">
      <c r="A9" s="9">
        <f t="shared" si="0"/>
        <v>6</v>
      </c>
      <c r="B9" s="103" t="s">
        <v>436</v>
      </c>
      <c r="C9" s="21" t="s">
        <v>436</v>
      </c>
      <c r="D9" s="15" t="s">
        <v>32</v>
      </c>
      <c r="E9" s="15" t="s">
        <v>601</v>
      </c>
      <c r="F9" s="109"/>
      <c r="G9" s="109"/>
      <c r="H9" s="11">
        <v>0</v>
      </c>
      <c r="I9" s="11">
        <v>0</v>
      </c>
      <c r="J9" s="11">
        <v>732000</v>
      </c>
      <c r="K9" s="11">
        <v>679000</v>
      </c>
      <c r="L9" s="11">
        <v>575000</v>
      </c>
      <c r="M9" s="11">
        <v>723000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 spans="1:42" x14ac:dyDescent="0.25">
      <c r="A10" s="9">
        <f t="shared" si="0"/>
        <v>7</v>
      </c>
      <c r="B10" s="103" t="s">
        <v>112</v>
      </c>
      <c r="C10" s="21" t="s">
        <v>112</v>
      </c>
      <c r="D10" s="15" t="s">
        <v>32</v>
      </c>
      <c r="E10" s="15" t="s">
        <v>654</v>
      </c>
      <c r="F10" s="109"/>
      <c r="G10" s="109"/>
      <c r="H10" s="11">
        <v>0</v>
      </c>
      <c r="I10" s="11">
        <v>0</v>
      </c>
      <c r="J10" s="11">
        <v>705000</v>
      </c>
      <c r="K10" s="11">
        <v>0</v>
      </c>
      <c r="L10" s="11">
        <v>549000</v>
      </c>
      <c r="M10" s="11">
        <v>653000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:42" x14ac:dyDescent="0.25">
      <c r="A11" s="9">
        <f t="shared" si="0"/>
        <v>8</v>
      </c>
      <c r="B11" s="103" t="s">
        <v>39</v>
      </c>
      <c r="C11" s="21" t="s">
        <v>39</v>
      </c>
      <c r="D11" s="15" t="s">
        <v>32</v>
      </c>
      <c r="E11" s="15" t="s">
        <v>62</v>
      </c>
      <c r="F11" s="109"/>
      <c r="G11" s="109"/>
      <c r="H11" s="11">
        <v>0</v>
      </c>
      <c r="I11" s="11">
        <v>0</v>
      </c>
      <c r="J11" s="11">
        <v>784000</v>
      </c>
      <c r="K11" s="11">
        <v>732000</v>
      </c>
      <c r="L11" s="11">
        <v>654000</v>
      </c>
      <c r="M11" s="11">
        <v>754000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2" x14ac:dyDescent="0.25">
      <c r="A12" s="9">
        <f t="shared" si="0"/>
        <v>9</v>
      </c>
      <c r="B12" s="103" t="s">
        <v>437</v>
      </c>
      <c r="C12" s="21" t="s">
        <v>437</v>
      </c>
      <c r="D12" s="15" t="s">
        <v>20</v>
      </c>
      <c r="E12" s="15" t="s">
        <v>601</v>
      </c>
      <c r="F12" s="109"/>
      <c r="G12" s="109"/>
      <c r="H12" s="11">
        <v>0</v>
      </c>
      <c r="I12" s="11">
        <v>0</v>
      </c>
      <c r="J12" s="11">
        <v>484000</v>
      </c>
      <c r="K12" s="11">
        <v>444000</v>
      </c>
      <c r="L12" s="11">
        <v>392000</v>
      </c>
      <c r="M12" s="11">
        <v>483000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2" x14ac:dyDescent="0.25">
      <c r="A13" s="9">
        <f t="shared" si="0"/>
        <v>10</v>
      </c>
      <c r="B13" s="103" t="s">
        <v>118</v>
      </c>
      <c r="C13" s="21" t="s">
        <v>118</v>
      </c>
      <c r="D13" s="15" t="s">
        <v>20</v>
      </c>
      <c r="E13" s="15" t="s">
        <v>662</v>
      </c>
      <c r="F13" s="109"/>
      <c r="G13" s="109"/>
      <c r="H13" s="11">
        <v>0</v>
      </c>
      <c r="I13" s="11">
        <v>0</v>
      </c>
      <c r="J13" s="11">
        <v>522000</v>
      </c>
      <c r="K13" s="11">
        <v>484000</v>
      </c>
      <c r="L13" s="11">
        <v>458000</v>
      </c>
      <c r="M13" s="11">
        <v>553000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 x14ac:dyDescent="0.25">
      <c r="A14" s="9">
        <f t="shared" si="0"/>
        <v>11</v>
      </c>
      <c r="B14" s="103" t="s">
        <v>143</v>
      </c>
      <c r="C14" s="21" t="s">
        <v>143</v>
      </c>
      <c r="D14" s="15" t="s">
        <v>20</v>
      </c>
      <c r="E14" s="15" t="s">
        <v>682</v>
      </c>
      <c r="F14" s="109"/>
      <c r="G14" s="109"/>
      <c r="H14" s="11">
        <v>0</v>
      </c>
      <c r="I14" s="11">
        <v>0</v>
      </c>
      <c r="J14" s="11">
        <v>601000</v>
      </c>
      <c r="K14" s="11">
        <v>562000</v>
      </c>
      <c r="L14" s="11">
        <v>496000</v>
      </c>
      <c r="M14" s="11">
        <v>543000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pans="1:42" x14ac:dyDescent="0.25">
      <c r="A15" s="9">
        <f t="shared" si="0"/>
        <v>12</v>
      </c>
      <c r="B15" s="103" t="s">
        <v>119</v>
      </c>
      <c r="C15" s="21" t="s">
        <v>119</v>
      </c>
      <c r="D15" s="15" t="s">
        <v>20</v>
      </c>
      <c r="E15" s="15" t="s">
        <v>663</v>
      </c>
      <c r="F15" s="109"/>
      <c r="G15" s="109"/>
      <c r="H15" s="11">
        <v>0</v>
      </c>
      <c r="I15" s="11">
        <v>0</v>
      </c>
      <c r="J15" s="11">
        <v>575000</v>
      </c>
      <c r="K15" s="11">
        <v>496000</v>
      </c>
      <c r="L15" s="11">
        <v>418000</v>
      </c>
      <c r="M15" s="11">
        <v>553000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pans="1:42" ht="31.5" x14ac:dyDescent="0.25">
      <c r="A16" s="9">
        <f t="shared" si="0"/>
        <v>13</v>
      </c>
      <c r="B16" s="103" t="s">
        <v>129</v>
      </c>
      <c r="C16" s="21" t="s">
        <v>129</v>
      </c>
      <c r="D16" s="15" t="s">
        <v>20</v>
      </c>
      <c r="E16" s="15" t="s">
        <v>671</v>
      </c>
      <c r="F16" s="109"/>
      <c r="G16" s="109"/>
      <c r="H16" s="11">
        <v>0</v>
      </c>
      <c r="I16" s="11">
        <v>0</v>
      </c>
      <c r="J16" s="11">
        <v>522000</v>
      </c>
      <c r="K16" s="11">
        <v>484000</v>
      </c>
      <c r="L16" s="11">
        <v>462000</v>
      </c>
      <c r="M16" s="11">
        <v>493000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1:42" x14ac:dyDescent="0.25">
      <c r="A17" s="9">
        <f t="shared" si="0"/>
        <v>14</v>
      </c>
      <c r="B17" s="103" t="s">
        <v>543</v>
      </c>
      <c r="C17" s="138" t="s">
        <v>543</v>
      </c>
      <c r="D17" s="15" t="s">
        <v>15</v>
      </c>
      <c r="E17" s="15" t="s">
        <v>601</v>
      </c>
      <c r="F17" s="109"/>
      <c r="G17" s="109"/>
      <c r="H17" s="11">
        <v>0</v>
      </c>
      <c r="I17" s="11">
        <v>0</v>
      </c>
      <c r="J17" s="11">
        <v>1700000</v>
      </c>
      <c r="K17" s="11">
        <v>1633000</v>
      </c>
      <c r="L17" s="11">
        <v>0</v>
      </c>
      <c r="M17" s="1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42" ht="31.5" x14ac:dyDescent="0.25">
      <c r="A18" s="9">
        <f t="shared" si="0"/>
        <v>15</v>
      </c>
      <c r="B18" s="103" t="s">
        <v>142</v>
      </c>
      <c r="C18" s="138" t="s">
        <v>142</v>
      </c>
      <c r="D18" s="15" t="s">
        <v>15</v>
      </c>
      <c r="E18" s="15" t="s">
        <v>681</v>
      </c>
      <c r="F18" s="109"/>
      <c r="G18" s="109"/>
      <c r="H18" s="11">
        <v>0</v>
      </c>
      <c r="I18" s="11">
        <v>0</v>
      </c>
      <c r="J18" s="11">
        <v>1673000</v>
      </c>
      <c r="K18" s="11">
        <v>1659000</v>
      </c>
      <c r="L18" s="11">
        <v>0</v>
      </c>
      <c r="M18" s="1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 spans="1:42" x14ac:dyDescent="0.25">
      <c r="A19" s="9">
        <f t="shared" si="0"/>
        <v>16</v>
      </c>
      <c r="B19" s="103" t="s">
        <v>544</v>
      </c>
      <c r="C19" s="138" t="s">
        <v>544</v>
      </c>
      <c r="D19" s="15" t="s">
        <v>120</v>
      </c>
      <c r="E19" s="15" t="s">
        <v>601</v>
      </c>
      <c r="F19" s="109"/>
      <c r="G19" s="109"/>
      <c r="H19" s="11">
        <v>0</v>
      </c>
      <c r="I19" s="11">
        <v>0</v>
      </c>
      <c r="J19" s="11">
        <v>1046000</v>
      </c>
      <c r="K19" s="11">
        <v>1020000</v>
      </c>
      <c r="L19" s="11">
        <v>0</v>
      </c>
      <c r="M19" s="1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x14ac:dyDescent="0.25">
      <c r="A20" s="9">
        <f t="shared" si="0"/>
        <v>17</v>
      </c>
      <c r="B20" s="103" t="s">
        <v>121</v>
      </c>
      <c r="C20" s="138" t="s">
        <v>121</v>
      </c>
      <c r="D20" s="15" t="s">
        <v>120</v>
      </c>
      <c r="E20" s="15" t="s">
        <v>66</v>
      </c>
      <c r="F20" s="109"/>
      <c r="G20" s="109"/>
      <c r="H20" s="11">
        <v>0</v>
      </c>
      <c r="I20" s="11">
        <v>0</v>
      </c>
      <c r="J20" s="11">
        <v>1110000</v>
      </c>
      <c r="K20" s="11">
        <v>1072000</v>
      </c>
      <c r="L20" s="11">
        <v>0</v>
      </c>
      <c r="M20" s="1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 x14ac:dyDescent="0.25">
      <c r="A21" s="9">
        <f t="shared" si="0"/>
        <v>18</v>
      </c>
      <c r="B21" s="103" t="s">
        <v>141</v>
      </c>
      <c r="C21" s="138" t="s">
        <v>141</v>
      </c>
      <c r="D21" s="15" t="s">
        <v>120</v>
      </c>
      <c r="E21" s="15" t="s">
        <v>680</v>
      </c>
      <c r="F21" s="109"/>
      <c r="G21" s="109"/>
      <c r="H21" s="11">
        <v>0</v>
      </c>
      <c r="I21" s="11">
        <v>0</v>
      </c>
      <c r="J21" s="11">
        <v>1177000</v>
      </c>
      <c r="K21" s="11">
        <v>1151000</v>
      </c>
      <c r="L21" s="11">
        <v>0</v>
      </c>
      <c r="M21" s="1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 spans="1:42" ht="31.5" x14ac:dyDescent="0.25">
      <c r="A22" s="9">
        <f t="shared" si="0"/>
        <v>19</v>
      </c>
      <c r="B22" s="103" t="s">
        <v>153</v>
      </c>
      <c r="C22" s="21" t="s">
        <v>153</v>
      </c>
      <c r="D22" s="15" t="s">
        <v>69</v>
      </c>
      <c r="E22" s="15" t="s">
        <v>666</v>
      </c>
      <c r="F22" s="109"/>
      <c r="G22" s="109"/>
      <c r="H22" s="11">
        <v>1709000</v>
      </c>
      <c r="I22" s="11">
        <v>0</v>
      </c>
      <c r="J22" s="11">
        <v>438000</v>
      </c>
      <c r="K22" s="11">
        <v>359000</v>
      </c>
      <c r="L22" s="11">
        <v>0</v>
      </c>
      <c r="M22" s="11">
        <v>412000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1:42" ht="31.5" x14ac:dyDescent="0.25">
      <c r="A23" s="9">
        <f t="shared" si="0"/>
        <v>20</v>
      </c>
      <c r="B23" s="103" t="s">
        <v>114</v>
      </c>
      <c r="C23" s="21" t="s">
        <v>114</v>
      </c>
      <c r="D23" s="15" t="s">
        <v>69</v>
      </c>
      <c r="E23" s="15" t="s">
        <v>660</v>
      </c>
      <c r="F23" s="109"/>
      <c r="G23" s="109"/>
      <c r="H23" s="11">
        <v>0</v>
      </c>
      <c r="I23" s="11">
        <v>0</v>
      </c>
      <c r="J23" s="11">
        <v>588000</v>
      </c>
      <c r="K23" s="11">
        <v>522000</v>
      </c>
      <c r="L23" s="11">
        <v>0</v>
      </c>
      <c r="M23" s="11">
        <v>553000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</row>
    <row r="24" spans="1:42" ht="31.5" x14ac:dyDescent="0.25">
      <c r="A24" s="9">
        <f t="shared" si="0"/>
        <v>21</v>
      </c>
      <c r="B24" s="103" t="s">
        <v>155</v>
      </c>
      <c r="C24" s="21" t="s">
        <v>155</v>
      </c>
      <c r="D24" s="15" t="s">
        <v>69</v>
      </c>
      <c r="E24" s="15" t="s">
        <v>665</v>
      </c>
      <c r="F24" s="109"/>
      <c r="G24" s="109"/>
      <c r="H24" s="11">
        <v>2011000</v>
      </c>
      <c r="I24" s="11">
        <v>0</v>
      </c>
      <c r="J24" s="11">
        <v>491000</v>
      </c>
      <c r="K24" s="11">
        <v>470000</v>
      </c>
      <c r="L24" s="11">
        <v>444000</v>
      </c>
      <c r="M24" s="11">
        <v>483000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</row>
    <row r="25" spans="1:42" ht="47.25" x14ac:dyDescent="0.25">
      <c r="A25" s="9">
        <f t="shared" si="0"/>
        <v>22</v>
      </c>
      <c r="B25" s="103" t="s">
        <v>152</v>
      </c>
      <c r="C25" s="21" t="s">
        <v>152</v>
      </c>
      <c r="D25" s="15" t="s">
        <v>69</v>
      </c>
      <c r="E25" s="15" t="s">
        <v>664</v>
      </c>
      <c r="F25" s="109"/>
      <c r="G25" s="109"/>
      <c r="H25" s="11">
        <v>1156000</v>
      </c>
      <c r="I25" s="11">
        <v>0</v>
      </c>
      <c r="J25" s="11">
        <v>367000</v>
      </c>
      <c r="K25" s="11">
        <v>326000</v>
      </c>
      <c r="L25" s="11">
        <v>0</v>
      </c>
      <c r="M25" s="11">
        <v>302000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:42" x14ac:dyDescent="0.25">
      <c r="A26" s="9">
        <f t="shared" si="0"/>
        <v>23</v>
      </c>
      <c r="B26" s="103" t="s">
        <v>125</v>
      </c>
      <c r="C26" s="21" t="s">
        <v>125</v>
      </c>
      <c r="D26" s="15" t="s">
        <v>79</v>
      </c>
      <c r="E26" s="15" t="s">
        <v>668</v>
      </c>
      <c r="F26" s="109"/>
      <c r="G26" s="109"/>
      <c r="H26" s="11">
        <v>0</v>
      </c>
      <c r="I26" s="11">
        <v>0</v>
      </c>
      <c r="J26" s="11">
        <v>522000</v>
      </c>
      <c r="K26" s="11">
        <v>470000</v>
      </c>
      <c r="L26" s="11">
        <v>444000</v>
      </c>
      <c r="M26" s="11">
        <v>503000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ht="31.5" x14ac:dyDescent="0.25">
      <c r="A27" s="106">
        <f t="shared" si="0"/>
        <v>24</v>
      </c>
      <c r="B27" s="103"/>
      <c r="C27" s="21" t="s">
        <v>144</v>
      </c>
      <c r="D27" s="15" t="s">
        <v>79</v>
      </c>
      <c r="E27" s="15" t="s">
        <v>684</v>
      </c>
      <c r="F27" s="109"/>
      <c r="G27" s="109"/>
      <c r="H27" s="11">
        <v>0</v>
      </c>
      <c r="I27" s="11">
        <v>0</v>
      </c>
      <c r="J27" s="11">
        <v>484000</v>
      </c>
      <c r="K27" s="11">
        <v>470000</v>
      </c>
      <c r="L27" s="11">
        <v>458000</v>
      </c>
      <c r="M27" s="11">
        <v>472000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spans="1:42" x14ac:dyDescent="0.25">
      <c r="A28" s="9">
        <f t="shared" si="0"/>
        <v>25</v>
      </c>
      <c r="B28" s="103" t="s">
        <v>124</v>
      </c>
      <c r="C28" s="21" t="s">
        <v>124</v>
      </c>
      <c r="D28" s="15" t="s">
        <v>79</v>
      </c>
      <c r="E28" s="15" t="s">
        <v>667</v>
      </c>
      <c r="F28" s="109"/>
      <c r="G28" s="109"/>
      <c r="H28" s="11">
        <v>0</v>
      </c>
      <c r="I28" s="11">
        <v>0</v>
      </c>
      <c r="J28" s="11">
        <v>491000</v>
      </c>
      <c r="K28" s="11">
        <v>432000</v>
      </c>
      <c r="L28" s="11">
        <v>392000</v>
      </c>
      <c r="M28" s="11">
        <v>472000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 spans="1:42" ht="31.5" x14ac:dyDescent="0.25">
      <c r="A29" s="9">
        <f t="shared" si="0"/>
        <v>26</v>
      </c>
      <c r="B29" s="103" t="s">
        <v>145</v>
      </c>
      <c r="C29" s="21" t="s">
        <v>145</v>
      </c>
      <c r="D29" s="15" t="s">
        <v>79</v>
      </c>
      <c r="E29" s="15" t="s">
        <v>685</v>
      </c>
      <c r="F29" s="109"/>
      <c r="G29" s="109"/>
      <c r="H29" s="11">
        <v>0</v>
      </c>
      <c r="I29" s="11">
        <v>0</v>
      </c>
      <c r="J29" s="11">
        <v>470000</v>
      </c>
      <c r="K29" s="11">
        <v>458000</v>
      </c>
      <c r="L29" s="11">
        <v>444000</v>
      </c>
      <c r="M29" s="11">
        <v>463000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 spans="1:42" x14ac:dyDescent="0.25">
      <c r="A30" s="9">
        <f t="shared" si="0"/>
        <v>27</v>
      </c>
      <c r="B30" s="103" t="s">
        <v>126</v>
      </c>
      <c r="C30" s="21" t="s">
        <v>126</v>
      </c>
      <c r="D30" s="15" t="s">
        <v>79</v>
      </c>
      <c r="E30" s="15" t="s">
        <v>669</v>
      </c>
      <c r="F30" s="109"/>
      <c r="G30" s="109"/>
      <c r="H30" s="11">
        <v>0</v>
      </c>
      <c r="I30" s="11">
        <v>0</v>
      </c>
      <c r="J30" s="11">
        <v>458000</v>
      </c>
      <c r="K30" s="11">
        <v>405000</v>
      </c>
      <c r="L30" s="11">
        <v>392000</v>
      </c>
      <c r="M30" s="11">
        <v>412000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 spans="1:42" x14ac:dyDescent="0.25">
      <c r="A31" s="9">
        <f t="shared" si="0"/>
        <v>28</v>
      </c>
      <c r="B31" s="103" t="s">
        <v>40</v>
      </c>
      <c r="C31" s="138" t="s">
        <v>40</v>
      </c>
      <c r="D31" s="15" t="s">
        <v>83</v>
      </c>
      <c r="E31" s="15" t="s">
        <v>84</v>
      </c>
      <c r="F31" s="109"/>
      <c r="G31" s="109"/>
      <c r="H31" s="11">
        <v>0</v>
      </c>
      <c r="I31" s="11">
        <v>0</v>
      </c>
      <c r="J31" s="11">
        <v>1438000</v>
      </c>
      <c r="K31" s="11">
        <v>1372000</v>
      </c>
      <c r="L31" s="11">
        <v>1359000</v>
      </c>
      <c r="M31" s="1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2" ht="31.5" x14ac:dyDescent="0.25">
      <c r="A32" s="9">
        <f t="shared" si="0"/>
        <v>29</v>
      </c>
      <c r="B32" s="103" t="s">
        <v>156</v>
      </c>
      <c r="C32" s="138" t="s">
        <v>156</v>
      </c>
      <c r="D32" s="15" t="s">
        <v>83</v>
      </c>
      <c r="E32" s="15" t="s">
        <v>657</v>
      </c>
      <c r="F32" s="109"/>
      <c r="G32" s="109"/>
      <c r="H32" s="11">
        <v>0</v>
      </c>
      <c r="I32" s="11">
        <v>0</v>
      </c>
      <c r="J32" s="11">
        <v>1372000</v>
      </c>
      <c r="K32" s="11">
        <v>1307000</v>
      </c>
      <c r="L32" s="11">
        <v>0</v>
      </c>
      <c r="M32" s="1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1:42" ht="31.5" x14ac:dyDescent="0.25">
      <c r="A33" s="9">
        <f t="shared" si="0"/>
        <v>30</v>
      </c>
      <c r="B33" s="103" t="s">
        <v>157</v>
      </c>
      <c r="C33" s="138" t="s">
        <v>157</v>
      </c>
      <c r="D33" s="15" t="s">
        <v>83</v>
      </c>
      <c r="E33" s="15" t="s">
        <v>656</v>
      </c>
      <c r="F33" s="109"/>
      <c r="G33" s="109"/>
      <c r="H33" s="11">
        <v>0</v>
      </c>
      <c r="I33" s="11">
        <v>0</v>
      </c>
      <c r="J33" s="11">
        <v>1504000</v>
      </c>
      <c r="K33" s="11">
        <v>1464000</v>
      </c>
      <c r="L33" s="11">
        <v>0</v>
      </c>
      <c r="M33" s="1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1:42" x14ac:dyDescent="0.25">
      <c r="A34" s="9">
        <f t="shared" si="0"/>
        <v>31</v>
      </c>
      <c r="B34" s="103" t="s">
        <v>127</v>
      </c>
      <c r="C34" s="138" t="s">
        <v>127</v>
      </c>
      <c r="D34" s="15" t="s">
        <v>83</v>
      </c>
      <c r="E34" s="15" t="s">
        <v>670</v>
      </c>
      <c r="F34" s="109"/>
      <c r="G34" s="109"/>
      <c r="H34" s="11">
        <v>0</v>
      </c>
      <c r="I34" s="11">
        <v>0</v>
      </c>
      <c r="J34" s="11">
        <v>1242000</v>
      </c>
      <c r="K34" s="11">
        <v>1228000</v>
      </c>
      <c r="L34" s="11">
        <v>1216000</v>
      </c>
      <c r="M34" s="1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spans="1:42" x14ac:dyDescent="0.25">
      <c r="A35" s="9">
        <f t="shared" si="0"/>
        <v>32</v>
      </c>
      <c r="B35" s="103" t="s">
        <v>128</v>
      </c>
      <c r="C35" s="138" t="s">
        <v>128</v>
      </c>
      <c r="D35" s="15" t="s">
        <v>83</v>
      </c>
      <c r="E35" s="15" t="s">
        <v>698</v>
      </c>
      <c r="F35" s="109"/>
      <c r="G35" s="109"/>
      <c r="H35" s="11">
        <v>0</v>
      </c>
      <c r="I35" s="11">
        <v>0</v>
      </c>
      <c r="J35" s="11">
        <v>1307000</v>
      </c>
      <c r="K35" s="11">
        <v>1295000</v>
      </c>
      <c r="L35" s="11">
        <v>0</v>
      </c>
      <c r="M35" s="1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</row>
    <row r="36" spans="1:42" ht="63" x14ac:dyDescent="0.25">
      <c r="A36" s="9">
        <f t="shared" si="0"/>
        <v>33</v>
      </c>
      <c r="B36" s="103" t="s">
        <v>149</v>
      </c>
      <c r="C36" s="21" t="s">
        <v>149</v>
      </c>
      <c r="D36" s="15" t="s">
        <v>638</v>
      </c>
      <c r="E36" s="15" t="s">
        <v>659</v>
      </c>
      <c r="F36" s="109"/>
      <c r="G36" s="109"/>
      <c r="H36" s="11">
        <v>1106000</v>
      </c>
      <c r="I36" s="11">
        <v>0</v>
      </c>
      <c r="J36" s="11">
        <v>367000</v>
      </c>
      <c r="K36" s="11">
        <v>341000</v>
      </c>
      <c r="L36" s="11">
        <v>0</v>
      </c>
      <c r="M36" s="11">
        <v>352000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</row>
    <row r="37" spans="1:42" ht="31.5" x14ac:dyDescent="0.25">
      <c r="A37" s="9">
        <f t="shared" si="0"/>
        <v>34</v>
      </c>
      <c r="B37" s="103" t="s">
        <v>111</v>
      </c>
      <c r="C37" s="21" t="s">
        <v>111</v>
      </c>
      <c r="D37" s="15" t="s">
        <v>638</v>
      </c>
      <c r="E37" s="15" t="s">
        <v>688</v>
      </c>
      <c r="F37" s="109"/>
      <c r="G37" s="109"/>
      <c r="H37" s="11">
        <v>0</v>
      </c>
      <c r="I37" s="11">
        <v>0</v>
      </c>
      <c r="J37" s="11">
        <v>444000</v>
      </c>
      <c r="K37" s="11">
        <v>432000</v>
      </c>
      <c r="L37" s="11">
        <v>0</v>
      </c>
      <c r="M37" s="11">
        <v>392000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 spans="1:42" x14ac:dyDescent="0.25">
      <c r="A38" s="9">
        <f t="shared" si="0"/>
        <v>35</v>
      </c>
      <c r="B38" s="103" t="s">
        <v>151</v>
      </c>
      <c r="C38" s="21" t="s">
        <v>697</v>
      </c>
      <c r="D38" s="15" t="s">
        <v>638</v>
      </c>
      <c r="E38" s="15" t="s">
        <v>658</v>
      </c>
      <c r="F38" s="109"/>
      <c r="G38" s="109"/>
      <c r="H38" s="11">
        <v>1608000</v>
      </c>
      <c r="I38" s="11">
        <v>0</v>
      </c>
      <c r="J38" s="11">
        <v>444000</v>
      </c>
      <c r="K38" s="11">
        <v>405000</v>
      </c>
      <c r="L38" s="11">
        <v>0</v>
      </c>
      <c r="M38" s="11">
        <v>412000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1:42" ht="63" x14ac:dyDescent="0.25">
      <c r="A39" s="9">
        <f t="shared" si="0"/>
        <v>36</v>
      </c>
      <c r="B39" s="103" t="s">
        <v>150</v>
      </c>
      <c r="C39" s="21" t="s">
        <v>150</v>
      </c>
      <c r="D39" s="15" t="s">
        <v>638</v>
      </c>
      <c r="E39" s="15" t="s">
        <v>689</v>
      </c>
      <c r="F39" s="109"/>
      <c r="G39" s="109"/>
      <c r="H39" s="11">
        <v>1328000</v>
      </c>
      <c r="I39" s="11">
        <v>0</v>
      </c>
      <c r="J39" s="11">
        <v>418000</v>
      </c>
      <c r="K39" s="11">
        <v>392000</v>
      </c>
      <c r="L39" s="11">
        <v>0</v>
      </c>
      <c r="M39" s="11">
        <v>392000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pans="1:42" ht="31.5" x14ac:dyDescent="0.25">
      <c r="A40" s="9">
        <f t="shared" si="0"/>
        <v>37</v>
      </c>
      <c r="B40" s="103" t="s">
        <v>147</v>
      </c>
      <c r="C40" s="21" t="s">
        <v>147</v>
      </c>
      <c r="D40" s="15" t="s">
        <v>638</v>
      </c>
      <c r="E40" s="15" t="s">
        <v>672</v>
      </c>
      <c r="F40" s="109"/>
      <c r="G40" s="109"/>
      <c r="H40" s="11">
        <v>1106000</v>
      </c>
      <c r="I40" s="11">
        <v>0</v>
      </c>
      <c r="J40" s="11">
        <v>0</v>
      </c>
      <c r="K40" s="11">
        <v>367000</v>
      </c>
      <c r="L40" s="11">
        <v>346000</v>
      </c>
      <c r="M40" s="11">
        <v>302000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spans="1:42" x14ac:dyDescent="0.25">
      <c r="A41" s="9">
        <f t="shared" si="0"/>
        <v>38</v>
      </c>
      <c r="B41" s="103" t="s">
        <v>146</v>
      </c>
      <c r="C41" s="21" t="s">
        <v>146</v>
      </c>
      <c r="D41" s="15" t="s">
        <v>638</v>
      </c>
      <c r="E41" s="15" t="s">
        <v>89</v>
      </c>
      <c r="F41" s="109"/>
      <c r="G41" s="109" t="s">
        <v>366</v>
      </c>
      <c r="H41" s="11">
        <v>0</v>
      </c>
      <c r="I41" s="11">
        <v>0</v>
      </c>
      <c r="J41" s="11">
        <v>432000</v>
      </c>
      <c r="K41" s="11">
        <v>392000</v>
      </c>
      <c r="L41" s="11">
        <v>379000</v>
      </c>
      <c r="M41" s="11">
        <v>352000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 spans="1:42" x14ac:dyDescent="0.25">
      <c r="A42" s="9">
        <f t="shared" si="0"/>
        <v>39</v>
      </c>
      <c r="B42" s="103" t="s">
        <v>130</v>
      </c>
      <c r="C42" s="138" t="s">
        <v>130</v>
      </c>
      <c r="D42" s="15" t="s">
        <v>638</v>
      </c>
      <c r="E42" s="15"/>
      <c r="F42" s="15" t="s">
        <v>371</v>
      </c>
      <c r="G42" s="109"/>
      <c r="H42" s="11">
        <v>664000</v>
      </c>
      <c r="I42" s="11">
        <v>0</v>
      </c>
      <c r="J42" s="11">
        <v>196000</v>
      </c>
      <c r="K42" s="11">
        <v>183000</v>
      </c>
      <c r="L42" s="11">
        <v>170000</v>
      </c>
      <c r="M42" s="1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</row>
    <row r="43" spans="1:42" x14ac:dyDescent="0.25">
      <c r="A43" s="9">
        <f t="shared" si="0"/>
        <v>40</v>
      </c>
      <c r="B43" s="103" t="s">
        <v>148</v>
      </c>
      <c r="C43" s="21" t="s">
        <v>148</v>
      </c>
      <c r="D43" s="15" t="s">
        <v>638</v>
      </c>
      <c r="E43" s="15" t="s">
        <v>687</v>
      </c>
      <c r="F43" s="109"/>
      <c r="G43" s="109"/>
      <c r="H43" s="11">
        <v>0</v>
      </c>
      <c r="I43" s="11">
        <v>0</v>
      </c>
      <c r="J43" s="11">
        <v>458000</v>
      </c>
      <c r="K43" s="11">
        <v>432000</v>
      </c>
      <c r="L43" s="11">
        <v>0</v>
      </c>
      <c r="M43" s="11">
        <v>412000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</row>
    <row r="44" spans="1:42" x14ac:dyDescent="0.25">
      <c r="A44" s="9">
        <f t="shared" si="0"/>
        <v>41</v>
      </c>
      <c r="B44" s="103" t="s">
        <v>545</v>
      </c>
      <c r="C44" s="138" t="s">
        <v>545</v>
      </c>
      <c r="D44" s="15" t="s">
        <v>16</v>
      </c>
      <c r="E44" s="15" t="s">
        <v>601</v>
      </c>
      <c r="F44" s="109"/>
      <c r="G44" s="109"/>
      <c r="H44" s="11">
        <v>0</v>
      </c>
      <c r="I44" s="11">
        <v>0</v>
      </c>
      <c r="J44" s="11">
        <v>2026000</v>
      </c>
      <c r="K44" s="11">
        <v>1895000</v>
      </c>
      <c r="L44" s="11">
        <v>0</v>
      </c>
      <c r="M44" s="1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</row>
    <row r="45" spans="1:42" x14ac:dyDescent="0.25">
      <c r="A45" s="9">
        <f t="shared" si="0"/>
        <v>42</v>
      </c>
      <c r="B45" s="103" t="s">
        <v>441</v>
      </c>
      <c r="C45" s="21" t="s">
        <v>441</v>
      </c>
      <c r="D45" s="15" t="s">
        <v>33</v>
      </c>
      <c r="E45" s="15" t="s">
        <v>601</v>
      </c>
      <c r="F45" s="109"/>
      <c r="G45" s="109"/>
      <c r="H45" s="11">
        <v>0</v>
      </c>
      <c r="I45" s="11">
        <v>0</v>
      </c>
      <c r="J45" s="11">
        <v>889000</v>
      </c>
      <c r="K45" s="11">
        <v>849000</v>
      </c>
      <c r="L45" s="11">
        <v>810000</v>
      </c>
      <c r="M45" s="11">
        <v>854000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</row>
    <row r="46" spans="1:42" x14ac:dyDescent="0.25">
      <c r="A46" s="9">
        <f t="shared" si="0"/>
        <v>43</v>
      </c>
      <c r="B46" s="103" t="s">
        <v>131</v>
      </c>
      <c r="C46" s="138" t="s">
        <v>131</v>
      </c>
      <c r="D46" s="15" t="s">
        <v>33</v>
      </c>
      <c r="E46" s="15" t="s">
        <v>673</v>
      </c>
      <c r="F46" s="109"/>
      <c r="G46" s="109"/>
      <c r="H46" s="11">
        <v>0</v>
      </c>
      <c r="I46" s="11">
        <v>0</v>
      </c>
      <c r="J46" s="11">
        <v>823000</v>
      </c>
      <c r="K46" s="11">
        <v>784000</v>
      </c>
      <c r="L46" s="11">
        <v>772000</v>
      </c>
      <c r="M46" s="1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  <row r="47" spans="1:42" x14ac:dyDescent="0.25">
      <c r="A47" s="9">
        <f t="shared" si="0"/>
        <v>44</v>
      </c>
      <c r="B47" s="103" t="s">
        <v>140</v>
      </c>
      <c r="C47" s="21" t="s">
        <v>140</v>
      </c>
      <c r="D47" s="15" t="s">
        <v>33</v>
      </c>
      <c r="E47" s="15" t="s">
        <v>679</v>
      </c>
      <c r="F47" s="109"/>
      <c r="G47" s="109"/>
      <c r="H47" s="11">
        <v>0</v>
      </c>
      <c r="I47" s="11">
        <v>0</v>
      </c>
      <c r="J47" s="11">
        <v>784000</v>
      </c>
      <c r="K47" s="11">
        <v>746000</v>
      </c>
      <c r="L47" s="11">
        <v>693000</v>
      </c>
      <c r="M47" s="11">
        <v>845000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</row>
    <row r="48" spans="1:42" x14ac:dyDescent="0.25">
      <c r="A48" s="9">
        <f t="shared" si="0"/>
        <v>45</v>
      </c>
      <c r="B48" s="103" t="s">
        <v>122</v>
      </c>
      <c r="C48" s="138" t="s">
        <v>122</v>
      </c>
      <c r="D48" s="15" t="s">
        <v>94</v>
      </c>
      <c r="E48" s="15" t="s">
        <v>336</v>
      </c>
      <c r="F48" s="109"/>
      <c r="G48" s="109"/>
      <c r="H48" s="11">
        <v>0</v>
      </c>
      <c r="I48" s="11">
        <v>0</v>
      </c>
      <c r="J48" s="11">
        <v>980000</v>
      </c>
      <c r="K48" s="11">
        <v>967000</v>
      </c>
      <c r="L48" s="11">
        <v>0</v>
      </c>
      <c r="M48" s="1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</row>
    <row r="49" spans="1:42" x14ac:dyDescent="0.25">
      <c r="A49" s="9">
        <f t="shared" si="0"/>
        <v>46</v>
      </c>
      <c r="B49" s="103" t="s">
        <v>135</v>
      </c>
      <c r="C49" s="21" t="s">
        <v>135</v>
      </c>
      <c r="D49" s="15" t="s">
        <v>94</v>
      </c>
      <c r="E49" s="15" t="s">
        <v>676</v>
      </c>
      <c r="F49" s="109"/>
      <c r="G49" s="109"/>
      <c r="H49" s="11">
        <v>0</v>
      </c>
      <c r="I49" s="11">
        <v>0</v>
      </c>
      <c r="J49" s="11">
        <v>588000</v>
      </c>
      <c r="K49" s="11">
        <v>549000</v>
      </c>
      <c r="L49" s="11">
        <v>522000</v>
      </c>
      <c r="M49" s="11">
        <v>603000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  <row r="50" spans="1:42" x14ac:dyDescent="0.25">
      <c r="A50" s="9">
        <f t="shared" si="0"/>
        <v>47</v>
      </c>
      <c r="B50" s="103" t="s">
        <v>123</v>
      </c>
      <c r="C50" s="138" t="s">
        <v>123</v>
      </c>
      <c r="D50" s="15" t="s">
        <v>94</v>
      </c>
      <c r="E50" s="15" t="s">
        <v>337</v>
      </c>
      <c r="F50" s="109"/>
      <c r="G50" s="109"/>
      <c r="H50" s="11">
        <v>0</v>
      </c>
      <c r="I50" s="11">
        <v>0</v>
      </c>
      <c r="J50" s="11">
        <v>1020000</v>
      </c>
      <c r="K50" s="11">
        <v>993000</v>
      </c>
      <c r="L50" s="11">
        <v>0</v>
      </c>
      <c r="M50" s="1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 spans="1:42" x14ac:dyDescent="0.25">
      <c r="A51" s="9">
        <f t="shared" si="0"/>
        <v>48</v>
      </c>
      <c r="B51" s="103" t="s">
        <v>137</v>
      </c>
      <c r="C51" s="21" t="s">
        <v>137</v>
      </c>
      <c r="D51" s="15" t="s">
        <v>94</v>
      </c>
      <c r="E51" s="15" t="s">
        <v>693</v>
      </c>
      <c r="F51" s="109"/>
      <c r="G51" s="109"/>
      <c r="H51" s="11">
        <v>0</v>
      </c>
      <c r="I51" s="11">
        <v>0</v>
      </c>
      <c r="J51" s="11">
        <v>705000</v>
      </c>
      <c r="K51" s="11">
        <v>654000</v>
      </c>
      <c r="L51" s="11">
        <v>628000</v>
      </c>
      <c r="M51" s="11">
        <v>704000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  <row r="52" spans="1:42" ht="31.5" x14ac:dyDescent="0.25">
      <c r="A52" s="9">
        <f t="shared" si="0"/>
        <v>49</v>
      </c>
      <c r="B52" s="103" t="s">
        <v>116</v>
      </c>
      <c r="C52" s="21" t="s">
        <v>116</v>
      </c>
      <c r="D52" s="15" t="s">
        <v>94</v>
      </c>
      <c r="E52" s="15" t="s">
        <v>661</v>
      </c>
      <c r="F52" s="109"/>
      <c r="G52" s="109"/>
      <c r="H52" s="11">
        <v>0</v>
      </c>
      <c r="I52" s="11">
        <v>0</v>
      </c>
      <c r="J52" s="11">
        <v>575000</v>
      </c>
      <c r="K52" s="11">
        <v>522000</v>
      </c>
      <c r="L52" s="11">
        <v>0</v>
      </c>
      <c r="M52" s="11">
        <v>553000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</row>
    <row r="53" spans="1:42" x14ac:dyDescent="0.25">
      <c r="A53" s="9">
        <f t="shared" si="0"/>
        <v>50</v>
      </c>
      <c r="B53" s="103" t="s">
        <v>115</v>
      </c>
      <c r="C53" s="21" t="s">
        <v>115</v>
      </c>
      <c r="D53" s="15" t="s">
        <v>94</v>
      </c>
      <c r="E53" s="15" t="s">
        <v>59</v>
      </c>
      <c r="F53" s="109"/>
      <c r="G53" s="109"/>
      <c r="H53" s="11">
        <v>0</v>
      </c>
      <c r="I53" s="11">
        <v>0</v>
      </c>
      <c r="J53" s="11">
        <v>522000</v>
      </c>
      <c r="K53" s="11">
        <v>510000</v>
      </c>
      <c r="L53" s="11">
        <v>0</v>
      </c>
      <c r="M53" s="11">
        <v>522000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spans="1:42" ht="31.5" x14ac:dyDescent="0.25">
      <c r="A54" s="9">
        <f t="shared" si="0"/>
        <v>51</v>
      </c>
      <c r="B54" s="103" t="s">
        <v>136</v>
      </c>
      <c r="C54" s="21" t="s">
        <v>136</v>
      </c>
      <c r="D54" s="15" t="s">
        <v>94</v>
      </c>
      <c r="E54" s="15" t="s">
        <v>692</v>
      </c>
      <c r="F54" s="109"/>
      <c r="G54" s="109"/>
      <c r="H54" s="11">
        <v>0</v>
      </c>
      <c r="I54" s="11">
        <v>0</v>
      </c>
      <c r="J54" s="11">
        <v>746000</v>
      </c>
      <c r="K54" s="11">
        <v>679000</v>
      </c>
      <c r="L54" s="11">
        <v>667000</v>
      </c>
      <c r="M54" s="11">
        <v>744000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</row>
    <row r="55" spans="1:42" x14ac:dyDescent="0.25">
      <c r="A55" s="9">
        <f t="shared" si="0"/>
        <v>52</v>
      </c>
      <c r="B55" s="103" t="s">
        <v>117</v>
      </c>
      <c r="C55" s="21" t="s">
        <v>117</v>
      </c>
      <c r="D55" s="15" t="s">
        <v>94</v>
      </c>
      <c r="E55" s="15" t="s">
        <v>332</v>
      </c>
      <c r="F55" s="109"/>
      <c r="G55" s="109"/>
      <c r="H55" s="11">
        <v>0</v>
      </c>
      <c r="I55" s="11">
        <v>0</v>
      </c>
      <c r="J55" s="11">
        <v>679000</v>
      </c>
      <c r="K55" s="11">
        <v>628000</v>
      </c>
      <c r="L55" s="11">
        <v>0</v>
      </c>
      <c r="M55" s="11">
        <v>684000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spans="1:42" x14ac:dyDescent="0.25">
      <c r="A56" s="9">
        <f t="shared" si="0"/>
        <v>53</v>
      </c>
      <c r="B56" s="103" t="s">
        <v>442</v>
      </c>
      <c r="C56" s="138" t="s">
        <v>442</v>
      </c>
      <c r="D56" s="15" t="s">
        <v>13</v>
      </c>
      <c r="E56" s="15" t="s">
        <v>601</v>
      </c>
      <c r="F56" s="109"/>
      <c r="G56" s="109"/>
      <c r="H56" s="11">
        <v>0</v>
      </c>
      <c r="I56" s="11">
        <v>0</v>
      </c>
      <c r="J56" s="11">
        <v>1633000</v>
      </c>
      <c r="K56" s="11">
        <v>1621000</v>
      </c>
      <c r="L56" s="11">
        <v>0</v>
      </c>
      <c r="M56" s="1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</row>
    <row r="57" spans="1:42" x14ac:dyDescent="0.25">
      <c r="A57" s="9">
        <f t="shared" si="0"/>
        <v>54</v>
      </c>
      <c r="B57" s="103" t="s">
        <v>134</v>
      </c>
      <c r="C57" s="138" t="s">
        <v>134</v>
      </c>
      <c r="D57" s="15" t="s">
        <v>13</v>
      </c>
      <c r="E57" s="15" t="s">
        <v>675</v>
      </c>
      <c r="F57" s="109"/>
      <c r="G57" s="109"/>
      <c r="H57" s="11">
        <v>0</v>
      </c>
      <c r="I57" s="11">
        <v>0</v>
      </c>
      <c r="J57" s="11">
        <v>1438000</v>
      </c>
      <c r="K57" s="11">
        <v>1425000</v>
      </c>
      <c r="L57" s="11">
        <v>1412000</v>
      </c>
      <c r="M57" s="1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spans="1:42" x14ac:dyDescent="0.25">
      <c r="A58" s="9">
        <f t="shared" si="0"/>
        <v>55</v>
      </c>
      <c r="B58" s="103" t="s">
        <v>443</v>
      </c>
      <c r="C58" s="138" t="s">
        <v>443</v>
      </c>
      <c r="D58" s="15" t="s">
        <v>17</v>
      </c>
      <c r="E58" s="15" t="s">
        <v>601</v>
      </c>
      <c r="F58" s="109"/>
      <c r="G58" s="109"/>
      <c r="H58" s="11">
        <v>0</v>
      </c>
      <c r="I58" s="11">
        <v>0</v>
      </c>
      <c r="J58" s="11">
        <v>2091000</v>
      </c>
      <c r="K58" s="11">
        <v>2026000</v>
      </c>
      <c r="L58" s="11">
        <v>0</v>
      </c>
      <c r="M58" s="1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</row>
    <row r="59" spans="1:42" x14ac:dyDescent="0.25">
      <c r="A59" s="9">
        <f t="shared" si="0"/>
        <v>56</v>
      </c>
      <c r="B59" s="103" t="s">
        <v>444</v>
      </c>
      <c r="C59" s="21" t="s">
        <v>444</v>
      </c>
      <c r="D59" s="15" t="s">
        <v>9</v>
      </c>
      <c r="E59" s="15" t="s">
        <v>601</v>
      </c>
      <c r="F59" s="109"/>
      <c r="G59" s="109"/>
      <c r="H59" s="11">
        <v>0</v>
      </c>
      <c r="I59" s="11">
        <v>0</v>
      </c>
      <c r="J59" s="11">
        <v>496000</v>
      </c>
      <c r="K59" s="11">
        <v>484000</v>
      </c>
      <c r="L59" s="11">
        <v>0</v>
      </c>
      <c r="M59" s="11">
        <v>472000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pans="1:42" ht="31.5" x14ac:dyDescent="0.25">
      <c r="A60" s="9">
        <f t="shared" si="0"/>
        <v>57</v>
      </c>
      <c r="B60" s="103" t="s">
        <v>158</v>
      </c>
      <c r="C60" s="21" t="s">
        <v>158</v>
      </c>
      <c r="D60" s="15" t="s">
        <v>9</v>
      </c>
      <c r="E60" s="15" t="s">
        <v>683</v>
      </c>
      <c r="F60" s="109"/>
      <c r="G60" s="109"/>
      <c r="H60" s="11">
        <v>0</v>
      </c>
      <c r="I60" s="11">
        <v>0</v>
      </c>
      <c r="J60" s="11">
        <v>496000</v>
      </c>
      <c r="K60" s="11">
        <v>484000</v>
      </c>
      <c r="L60" s="11">
        <v>0</v>
      </c>
      <c r="M60" s="11">
        <v>472000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spans="1:42" x14ac:dyDescent="0.25">
      <c r="A61" s="9">
        <f t="shared" si="0"/>
        <v>58</v>
      </c>
      <c r="B61" s="103" t="s">
        <v>159</v>
      </c>
      <c r="C61" s="42" t="s">
        <v>159</v>
      </c>
      <c r="D61" s="15" t="s">
        <v>9</v>
      </c>
      <c r="E61" s="15" t="s">
        <v>98</v>
      </c>
      <c r="F61" s="109"/>
      <c r="G61" s="109"/>
      <c r="H61" s="11">
        <v>723000</v>
      </c>
      <c r="I61" s="11">
        <v>0</v>
      </c>
      <c r="J61" s="11">
        <v>326000</v>
      </c>
      <c r="K61" s="11">
        <v>314000</v>
      </c>
      <c r="L61" s="11">
        <v>300000</v>
      </c>
      <c r="M61" s="11">
        <v>321000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pans="1:42" ht="63" x14ac:dyDescent="0.25">
      <c r="A62" s="9">
        <f t="shared" si="0"/>
        <v>59</v>
      </c>
      <c r="B62" s="103" t="s">
        <v>160</v>
      </c>
      <c r="C62" s="21" t="s">
        <v>160</v>
      </c>
      <c r="D62" s="15" t="s">
        <v>9</v>
      </c>
      <c r="E62" s="15" t="s">
        <v>694</v>
      </c>
      <c r="F62" s="109"/>
      <c r="G62" s="109"/>
      <c r="H62" s="11">
        <v>1156000</v>
      </c>
      <c r="I62" s="11">
        <v>0</v>
      </c>
      <c r="J62" s="11">
        <v>367000</v>
      </c>
      <c r="K62" s="11">
        <v>341000</v>
      </c>
      <c r="L62" s="11">
        <v>326000</v>
      </c>
      <c r="M62" s="11">
        <v>321000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1:42" x14ac:dyDescent="0.25">
      <c r="A63" s="9">
        <f t="shared" si="0"/>
        <v>60</v>
      </c>
      <c r="B63" s="103" t="s">
        <v>139</v>
      </c>
      <c r="C63" s="138" t="s">
        <v>139</v>
      </c>
      <c r="D63" s="15" t="s">
        <v>9</v>
      </c>
      <c r="E63" s="15"/>
      <c r="F63" s="15" t="s">
        <v>678</v>
      </c>
      <c r="G63" s="109"/>
      <c r="H63" s="11">
        <v>1407000</v>
      </c>
      <c r="I63" s="11">
        <v>0</v>
      </c>
      <c r="J63" s="11">
        <v>470000</v>
      </c>
      <c r="K63" s="11">
        <v>392000</v>
      </c>
      <c r="L63" s="11">
        <v>367000</v>
      </c>
      <c r="M63" s="1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pans="1:42" ht="31.5" x14ac:dyDescent="0.25">
      <c r="A64" s="9">
        <f t="shared" si="0"/>
        <v>61</v>
      </c>
      <c r="B64" s="103" t="s">
        <v>546</v>
      </c>
      <c r="C64" s="21" t="s">
        <v>546</v>
      </c>
      <c r="D64" s="15" t="s">
        <v>638</v>
      </c>
      <c r="E64" s="15" t="s">
        <v>601</v>
      </c>
      <c r="F64" s="109"/>
      <c r="G64" s="109"/>
      <c r="H64" s="11">
        <v>895000</v>
      </c>
      <c r="I64" s="11">
        <v>0</v>
      </c>
      <c r="J64" s="11">
        <v>341000</v>
      </c>
      <c r="K64" s="11">
        <v>314000</v>
      </c>
      <c r="L64" s="11">
        <v>288000</v>
      </c>
      <c r="M64" s="11">
        <v>262000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spans="1:42" x14ac:dyDescent="0.25">
      <c r="A65" s="9">
        <f t="shared" si="0"/>
        <v>62</v>
      </c>
      <c r="B65" s="103" t="s">
        <v>547</v>
      </c>
      <c r="C65" s="10" t="s">
        <v>547</v>
      </c>
      <c r="D65" s="15" t="s">
        <v>638</v>
      </c>
      <c r="E65" s="15" t="s">
        <v>601</v>
      </c>
      <c r="F65" s="109"/>
      <c r="G65" s="109" t="s">
        <v>366</v>
      </c>
      <c r="H65" s="11">
        <v>0</v>
      </c>
      <c r="I65" s="11">
        <v>458000</v>
      </c>
      <c r="J65" s="11">
        <v>418000</v>
      </c>
      <c r="K65" s="11">
        <v>392000</v>
      </c>
      <c r="L65" s="11">
        <v>353000</v>
      </c>
      <c r="M65" s="11">
        <v>342000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spans="1:42" x14ac:dyDescent="0.25">
      <c r="A66" s="9">
        <f t="shared" si="0"/>
        <v>63</v>
      </c>
      <c r="B66" s="103" t="s">
        <v>446</v>
      </c>
      <c r="C66" s="21" t="s">
        <v>446</v>
      </c>
      <c r="D66" s="15" t="s">
        <v>19</v>
      </c>
      <c r="E66" s="15" t="s">
        <v>601</v>
      </c>
      <c r="F66" s="109"/>
      <c r="G66" s="109"/>
      <c r="H66" s="11">
        <v>0</v>
      </c>
      <c r="I66" s="11">
        <v>0</v>
      </c>
      <c r="J66" s="11">
        <v>496000</v>
      </c>
      <c r="K66" s="11">
        <v>470000</v>
      </c>
      <c r="L66" s="11">
        <v>418000</v>
      </c>
      <c r="M66" s="11">
        <v>483000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1:42" x14ac:dyDescent="0.25">
      <c r="A67" s="9">
        <f t="shared" si="0"/>
        <v>64</v>
      </c>
      <c r="B67" s="103" t="s">
        <v>163</v>
      </c>
      <c r="C67" s="21" t="s">
        <v>163</v>
      </c>
      <c r="D67" s="15" t="s">
        <v>19</v>
      </c>
      <c r="E67" s="15" t="s">
        <v>695</v>
      </c>
      <c r="F67" s="109"/>
      <c r="G67" s="109"/>
      <c r="H67" s="11">
        <v>0</v>
      </c>
      <c r="I67" s="11">
        <v>0</v>
      </c>
      <c r="J67" s="11">
        <v>562000</v>
      </c>
      <c r="K67" s="11">
        <v>549000</v>
      </c>
      <c r="L67" s="11">
        <v>458000</v>
      </c>
      <c r="M67" s="11">
        <v>553000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1:42" ht="31.5" x14ac:dyDescent="0.25">
      <c r="A68" s="12">
        <f t="shared" si="0"/>
        <v>65</v>
      </c>
      <c r="B68" s="103" t="s">
        <v>113</v>
      </c>
      <c r="C68" s="16" t="s">
        <v>113</v>
      </c>
      <c r="D68" s="15" t="s">
        <v>19</v>
      </c>
      <c r="E68" s="15" t="s">
        <v>655</v>
      </c>
      <c r="F68" s="16"/>
      <c r="G68" s="16"/>
      <c r="H68" s="14">
        <v>0</v>
      </c>
      <c r="I68" s="14">
        <v>0</v>
      </c>
      <c r="J68" s="14">
        <v>458000</v>
      </c>
      <c r="K68" s="14">
        <v>418000</v>
      </c>
      <c r="L68" s="14">
        <v>367000</v>
      </c>
      <c r="M68" s="11">
        <v>463000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70" spans="1:42" x14ac:dyDescent="0.25"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1:42" x14ac:dyDescent="0.25">
      <c r="P71"/>
      <c r="Q71"/>
      <c r="R71"/>
      <c r="S71"/>
      <c r="T71"/>
      <c r="U71"/>
      <c r="V71"/>
      <c r="AP71" s="1"/>
    </row>
    <row r="72" spans="1:42" x14ac:dyDescent="0.25">
      <c r="A72" s="84"/>
      <c r="B72" s="104"/>
      <c r="C72" s="86" t="s">
        <v>480</v>
      </c>
      <c r="D72" s="86"/>
      <c r="E72" s="86"/>
      <c r="F72" s="86"/>
      <c r="G72" s="86"/>
      <c r="H72" s="85"/>
      <c r="I72" s="85"/>
      <c r="J72" s="85"/>
      <c r="P72"/>
      <c r="Q72"/>
      <c r="R72"/>
      <c r="S72"/>
      <c r="T72"/>
      <c r="U72"/>
      <c r="V72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42" ht="16.5" thickBot="1" x14ac:dyDescent="0.3">
      <c r="A73" s="84"/>
      <c r="B73" s="104"/>
      <c r="C73" s="86"/>
      <c r="D73" s="86"/>
      <c r="E73" s="86"/>
      <c r="F73" s="86"/>
      <c r="G73" s="86"/>
      <c r="H73" s="85"/>
      <c r="I73" s="85"/>
      <c r="J73" s="85"/>
      <c r="P73"/>
      <c r="Q73"/>
      <c r="R73"/>
      <c r="S73"/>
      <c r="T73"/>
      <c r="U73"/>
      <c r="V73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1:42" ht="17.25" thickTop="1" thickBot="1" x14ac:dyDescent="0.3">
      <c r="A74" s="1"/>
      <c r="C74" s="1">
        <f>100-3.8</f>
        <v>96.2</v>
      </c>
      <c r="D74" s="1"/>
      <c r="E74" s="1"/>
      <c r="F74" s="1"/>
      <c r="G74" s="1"/>
      <c r="H74" s="2"/>
      <c r="I74" s="2"/>
      <c r="J74" s="39">
        <v>46023</v>
      </c>
      <c r="P74"/>
      <c r="Q74"/>
      <c r="R74"/>
      <c r="S74"/>
      <c r="T74"/>
      <c r="U74"/>
      <c r="V74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1:42" ht="16.5" thickTop="1" x14ac:dyDescent="0.25">
      <c r="A75" s="5" t="s">
        <v>0</v>
      </c>
      <c r="B75" s="101"/>
      <c r="C75" s="5" t="s">
        <v>110</v>
      </c>
      <c r="D75" s="5" t="s">
        <v>599</v>
      </c>
      <c r="E75" s="5"/>
      <c r="F75" s="5" t="s">
        <v>639</v>
      </c>
      <c r="G75" s="5" t="s">
        <v>637</v>
      </c>
      <c r="H75" s="115" t="s">
        <v>200</v>
      </c>
      <c r="I75" s="115"/>
      <c r="J75" s="5" t="s">
        <v>199</v>
      </c>
      <c r="P75"/>
      <c r="Q75"/>
      <c r="R75"/>
      <c r="S75"/>
      <c r="T75"/>
      <c r="U75"/>
      <c r="V7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1:42" ht="47.25" x14ac:dyDescent="0.25">
      <c r="A76" s="6">
        <v>1</v>
      </c>
      <c r="B76" s="102"/>
      <c r="C76" s="15" t="s">
        <v>201</v>
      </c>
      <c r="D76" s="15" t="s">
        <v>638</v>
      </c>
      <c r="E76" s="15"/>
      <c r="F76" s="15" t="s">
        <v>201</v>
      </c>
      <c r="G76" s="15"/>
      <c r="H76" s="28" t="s">
        <v>202</v>
      </c>
      <c r="I76" s="26" t="s">
        <v>203</v>
      </c>
      <c r="J76" s="8">
        <v>673000</v>
      </c>
      <c r="P76"/>
      <c r="Q76"/>
      <c r="R76"/>
      <c r="S76"/>
      <c r="T76"/>
      <c r="U76"/>
      <c r="V76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42" ht="47.25" x14ac:dyDescent="0.25">
      <c r="A77" s="9">
        <f>A76+1</f>
        <v>2</v>
      </c>
      <c r="B77" s="103"/>
      <c r="C77" s="21" t="s">
        <v>201</v>
      </c>
      <c r="D77" s="15" t="s">
        <v>638</v>
      </c>
      <c r="E77" s="21"/>
      <c r="F77" s="21" t="s">
        <v>201</v>
      </c>
      <c r="G77" s="21"/>
      <c r="H77" s="29" t="s">
        <v>202</v>
      </c>
      <c r="I77" s="27" t="s">
        <v>204</v>
      </c>
      <c r="J77" s="11">
        <v>507000</v>
      </c>
      <c r="P77"/>
      <c r="Q77"/>
      <c r="R77"/>
      <c r="S77"/>
      <c r="T77"/>
      <c r="U77"/>
      <c r="V77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42" ht="47.25" x14ac:dyDescent="0.25">
      <c r="A78" s="9">
        <f>A77+1</f>
        <v>3</v>
      </c>
      <c r="B78" s="103"/>
      <c r="C78" s="21" t="s">
        <v>201</v>
      </c>
      <c r="D78" s="15" t="s">
        <v>638</v>
      </c>
      <c r="E78" s="21"/>
      <c r="F78" s="21" t="s">
        <v>201</v>
      </c>
      <c r="G78" s="21"/>
      <c r="H78" s="29" t="s">
        <v>202</v>
      </c>
      <c r="I78" s="27" t="s">
        <v>205</v>
      </c>
      <c r="J78" s="11">
        <v>468000</v>
      </c>
      <c r="P78"/>
      <c r="Q78"/>
      <c r="R78"/>
      <c r="S78"/>
      <c r="T78"/>
      <c r="U78"/>
      <c r="V78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2" ht="63" x14ac:dyDescent="0.25">
      <c r="A79" s="9">
        <f>A78+1</f>
        <v>4</v>
      </c>
      <c r="B79" s="103"/>
      <c r="C79" s="21" t="s">
        <v>201</v>
      </c>
      <c r="D79" s="15" t="s">
        <v>638</v>
      </c>
      <c r="E79" s="21"/>
      <c r="F79" s="21" t="s">
        <v>201</v>
      </c>
      <c r="G79" s="21"/>
      <c r="H79" s="29" t="s">
        <v>202</v>
      </c>
      <c r="I79" s="27" t="s">
        <v>206</v>
      </c>
      <c r="J79" s="11">
        <v>381000</v>
      </c>
      <c r="P79"/>
      <c r="Q79"/>
      <c r="R79"/>
      <c r="S79"/>
      <c r="T79"/>
      <c r="U79"/>
      <c r="V79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2" ht="47.25" x14ac:dyDescent="0.25">
      <c r="A80" s="9">
        <f>A79+1</f>
        <v>5</v>
      </c>
      <c r="B80" s="105"/>
      <c r="C80" s="16" t="s">
        <v>201</v>
      </c>
      <c r="D80" s="15" t="s">
        <v>638</v>
      </c>
      <c r="E80" s="16"/>
      <c r="F80" s="16" t="s">
        <v>201</v>
      </c>
      <c r="G80" s="16" t="s">
        <v>696</v>
      </c>
      <c r="H80" s="30" t="s">
        <v>202</v>
      </c>
      <c r="I80" s="25"/>
      <c r="J80" s="14">
        <v>55632000</v>
      </c>
      <c r="P80"/>
      <c r="Q80"/>
      <c r="R80"/>
      <c r="S80"/>
      <c r="T80"/>
      <c r="U80"/>
      <c r="V80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8:43" hidden="1" x14ac:dyDescent="0.25">
      <c r="H81" s="2"/>
      <c r="I81" s="2"/>
      <c r="J81" s="1"/>
      <c r="K81" s="1"/>
      <c r="L81" s="1"/>
      <c r="M81" s="1"/>
      <c r="N81" s="1"/>
      <c r="O81" s="1"/>
      <c r="P81" s="1"/>
      <c r="S81" s="4">
        <v>64683000</v>
      </c>
      <c r="T81" s="14">
        <f>ROUND(S81+(S81*6.07%),-3)</f>
        <v>68609000</v>
      </c>
      <c r="U81" s="14">
        <f>ROUND(T81+(T81*3.88%),-3)</f>
        <v>71271000</v>
      </c>
      <c r="V81" s="14">
        <f t="shared" ref="V81" si="1">ROUND(U81+(U81*-1.73%),-3)</f>
        <v>70038000</v>
      </c>
      <c r="W81" s="14">
        <f t="shared" ref="W81" si="2">ROUND(V81+(V81*-9.23%),-3)</f>
        <v>63573000</v>
      </c>
      <c r="X81" s="14">
        <f t="shared" ref="X81" si="3">ROUND(W81+(W81*-2.33%),-3)</f>
        <v>62092000</v>
      </c>
      <c r="Y81" s="14">
        <f t="shared" ref="Y81" si="4">ROUND(X81+(X81*-4.11%),-3)</f>
        <v>59540000</v>
      </c>
      <c r="Z81" s="14">
        <f t="shared" ref="Z81" si="5">ROUND(Y81+(Y81*-1.67%),-3)</f>
        <v>58546000</v>
      </c>
      <c r="AA81" s="14">
        <f>ROUND(Z81+(Z81*2.22%),-3)</f>
        <v>59846000</v>
      </c>
      <c r="AB81" s="108">
        <f>ROUND(AA81+(AA81*-6.59%),-3)</f>
        <v>55902000</v>
      </c>
      <c r="AC81" s="108">
        <f>ROUND(AB81+(AB81*-6.59%),-3)</f>
        <v>52218000</v>
      </c>
      <c r="AD81" s="14">
        <f t="shared" ref="AD81" si="6">ROUND(AC81+(AC81*7.14%),-3)</f>
        <v>55946000</v>
      </c>
      <c r="AE81" s="14">
        <f>ROUND(AD81+(AD81*2.89%),-3)</f>
        <v>57563000</v>
      </c>
      <c r="AN81" s="1"/>
      <c r="AO81" s="1"/>
      <c r="AP81" s="1"/>
      <c r="AQ81" s="49" t="e">
        <f>#REF!-V80</f>
        <v>#REF!</v>
      </c>
    </row>
    <row r="82" spans="8:43" x14ac:dyDescent="0.25">
      <c r="H82" s="2"/>
      <c r="I82" s="2"/>
      <c r="J82" s="1"/>
      <c r="K82" s="1"/>
    </row>
  </sheetData>
  <mergeCells count="4">
    <mergeCell ref="H75:I75"/>
    <mergeCell ref="A2:A3"/>
    <mergeCell ref="C2:C3"/>
    <mergeCell ref="H1:M1"/>
  </mergeCells>
  <printOptions horizontalCentered="1"/>
  <pageMargins left="0.25" right="0.25" top="0.25" bottom="0.25" header="0.3" footer="0.3"/>
  <pageSetup scale="86" fitToHeight="0" orientation="landscape" horizontalDpi="0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5198B-210B-47B7-A951-4F22FB42671C}">
  <sheetPr>
    <tabColor theme="9" tint="0.39997558519241921"/>
  </sheetPr>
  <dimension ref="A1:BA154"/>
  <sheetViews>
    <sheetView showZeros="0" zoomScale="85" zoomScaleNormal="85" workbookViewId="0">
      <pane xSplit="3" ySplit="3" topLeftCell="D115" activePane="bottomRight" state="frozen"/>
      <selection activeCell="CO62" sqref="CO62"/>
      <selection pane="topRight" activeCell="CO62" sqref="CO62"/>
      <selection pane="bottomLeft" activeCell="CO62" sqref="CO62"/>
      <selection pane="bottomRight" activeCell="I64" sqref="I64"/>
    </sheetView>
  </sheetViews>
  <sheetFormatPr defaultRowHeight="15.75" x14ac:dyDescent="0.25"/>
  <cols>
    <col min="1" max="1" width="9.140625" style="2"/>
    <col min="2" max="2" width="47.5703125" style="99" hidden="1" customWidth="1"/>
    <col min="3" max="3" width="51.42578125" style="3" customWidth="1"/>
    <col min="4" max="33" width="13.7109375" style="4" customWidth="1"/>
    <col min="34" max="34" width="14" style="1" customWidth="1"/>
    <col min="35" max="36" width="13.7109375" style="1" customWidth="1"/>
    <col min="37" max="37" width="17.28515625" style="1" customWidth="1"/>
    <col min="38" max="38" width="16.85546875" style="1" customWidth="1"/>
    <col min="39" max="43" width="13.7109375" style="4" customWidth="1"/>
    <col min="44" max="44" width="14" style="1" customWidth="1"/>
    <col min="45" max="46" width="13.7109375" style="1" customWidth="1"/>
    <col min="47" max="47" width="17.28515625" style="1" customWidth="1"/>
    <col min="48" max="48" width="16.85546875" style="1" customWidth="1"/>
    <col min="49" max="305" width="13.7109375" style="1" customWidth="1"/>
    <col min="306" max="16384" width="9.140625" style="1"/>
  </cols>
  <sheetData>
    <row r="1" spans="1:43" ht="17.25" thickTop="1" thickBot="1" x14ac:dyDescent="0.3">
      <c r="A1" s="1"/>
      <c r="B1" s="95"/>
      <c r="C1" s="1">
        <f>100-3.8</f>
        <v>96.2</v>
      </c>
      <c r="D1" s="124" t="s">
        <v>427</v>
      </c>
      <c r="E1" s="125"/>
      <c r="F1" s="125"/>
      <c r="G1" s="125"/>
      <c r="H1" s="12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M1" s="1"/>
      <c r="AN1" s="1"/>
      <c r="AO1" s="1"/>
      <c r="AP1" s="1"/>
      <c r="AQ1" s="1"/>
    </row>
    <row r="2" spans="1:43" ht="48" thickTop="1" x14ac:dyDescent="0.25">
      <c r="A2" s="115" t="s">
        <v>0</v>
      </c>
      <c r="B2" s="96" t="s">
        <v>541</v>
      </c>
      <c r="C2" s="115" t="s">
        <v>110</v>
      </c>
      <c r="D2" s="17" t="s">
        <v>2</v>
      </c>
      <c r="E2" s="24" t="s">
        <v>167</v>
      </c>
      <c r="F2" s="17" t="s">
        <v>3</v>
      </c>
      <c r="G2" s="17" t="s">
        <v>4</v>
      </c>
      <c r="H2" s="17" t="s">
        <v>5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M2" s="1"/>
      <c r="AN2" s="1"/>
      <c r="AO2" s="1"/>
      <c r="AP2" s="1"/>
      <c r="AQ2" s="1"/>
    </row>
    <row r="3" spans="1:43" x14ac:dyDescent="0.25">
      <c r="A3" s="115"/>
      <c r="B3" s="96"/>
      <c r="C3" s="115"/>
      <c r="D3" s="5" t="s">
        <v>6</v>
      </c>
      <c r="E3" s="5" t="s">
        <v>7</v>
      </c>
      <c r="F3" s="5" t="s">
        <v>7</v>
      </c>
      <c r="G3" s="5" t="s">
        <v>7</v>
      </c>
      <c r="H3" s="5" t="s">
        <v>7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M3" s="1"/>
      <c r="AN3" s="1"/>
      <c r="AO3" s="1"/>
      <c r="AP3" s="1"/>
      <c r="AQ3" s="1"/>
    </row>
    <row r="4" spans="1:43" x14ac:dyDescent="0.25">
      <c r="A4" s="6">
        <v>1</v>
      </c>
      <c r="B4" s="102" t="s">
        <v>435</v>
      </c>
      <c r="C4" s="15" t="s">
        <v>435</v>
      </c>
      <c r="D4" s="8">
        <v>0</v>
      </c>
      <c r="E4" s="8">
        <v>0</v>
      </c>
      <c r="F4" s="8">
        <v>438000</v>
      </c>
      <c r="G4" s="8">
        <v>352000</v>
      </c>
      <c r="H4" s="8">
        <v>302000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M4" s="1"/>
      <c r="AN4" s="1"/>
      <c r="AO4" s="1"/>
      <c r="AP4" s="1"/>
      <c r="AQ4" s="1"/>
    </row>
    <row r="5" spans="1:43" x14ac:dyDescent="0.25">
      <c r="A5" s="9">
        <f t="shared" ref="A5:A68" si="0">A4+1</f>
        <v>2</v>
      </c>
      <c r="B5" s="103" t="s">
        <v>154</v>
      </c>
      <c r="C5" s="21" t="s">
        <v>154</v>
      </c>
      <c r="D5" s="11">
        <v>0</v>
      </c>
      <c r="E5" s="11">
        <v>0</v>
      </c>
      <c r="F5" s="11">
        <v>533000</v>
      </c>
      <c r="G5" s="11">
        <v>483000</v>
      </c>
      <c r="H5" s="11">
        <v>452000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M5" s="1"/>
      <c r="AN5" s="1"/>
      <c r="AO5" s="1"/>
      <c r="AP5" s="1"/>
      <c r="AQ5" s="1"/>
    </row>
    <row r="6" spans="1:43" x14ac:dyDescent="0.25">
      <c r="A6" s="9">
        <f t="shared" si="0"/>
        <v>3</v>
      </c>
      <c r="B6" s="103" t="s">
        <v>38</v>
      </c>
      <c r="C6" s="21" t="s">
        <v>38</v>
      </c>
      <c r="D6" s="11">
        <v>0</v>
      </c>
      <c r="E6" s="11">
        <v>0</v>
      </c>
      <c r="F6" s="11">
        <v>468000</v>
      </c>
      <c r="G6" s="11">
        <v>438000</v>
      </c>
      <c r="H6" s="11">
        <v>372000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M6" s="1"/>
      <c r="AN6" s="1"/>
      <c r="AO6" s="1"/>
      <c r="AP6" s="1"/>
      <c r="AQ6" s="1"/>
    </row>
    <row r="7" spans="1:43" x14ac:dyDescent="0.25">
      <c r="A7" s="9">
        <f t="shared" si="0"/>
        <v>4</v>
      </c>
      <c r="B7" s="103" t="s">
        <v>133</v>
      </c>
      <c r="C7" s="21" t="s">
        <v>133</v>
      </c>
      <c r="D7" s="11">
        <v>0</v>
      </c>
      <c r="E7" s="11">
        <v>0</v>
      </c>
      <c r="F7" s="11">
        <v>1206000</v>
      </c>
      <c r="G7" s="11">
        <v>1156000</v>
      </c>
      <c r="H7" s="11">
        <v>1091000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M7" s="1"/>
      <c r="AN7" s="1"/>
      <c r="AO7" s="1"/>
      <c r="AP7" s="1"/>
      <c r="AQ7" s="1"/>
    </row>
    <row r="8" spans="1:43" x14ac:dyDescent="0.25">
      <c r="A8" s="9">
        <f t="shared" si="0"/>
        <v>5</v>
      </c>
      <c r="B8" s="103" t="s">
        <v>132</v>
      </c>
      <c r="C8" s="21" t="s">
        <v>132</v>
      </c>
      <c r="D8" s="11">
        <v>0</v>
      </c>
      <c r="E8" s="11">
        <v>0</v>
      </c>
      <c r="F8" s="11">
        <v>483000</v>
      </c>
      <c r="G8" s="11">
        <v>422000</v>
      </c>
      <c r="H8" s="11">
        <v>402000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M8" s="1"/>
      <c r="AN8" s="1"/>
      <c r="AO8" s="1"/>
      <c r="AP8" s="1"/>
      <c r="AQ8" s="1"/>
    </row>
    <row r="9" spans="1:43" x14ac:dyDescent="0.25">
      <c r="A9" s="9">
        <f t="shared" si="0"/>
        <v>6</v>
      </c>
      <c r="B9" s="103" t="s">
        <v>436</v>
      </c>
      <c r="C9" s="21" t="s">
        <v>436</v>
      </c>
      <c r="D9" s="11">
        <v>0</v>
      </c>
      <c r="E9" s="11">
        <v>0</v>
      </c>
      <c r="F9" s="11">
        <v>563000</v>
      </c>
      <c r="G9" s="11">
        <v>522000</v>
      </c>
      <c r="H9" s="11">
        <v>443000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M9" s="1"/>
      <c r="AN9" s="1"/>
      <c r="AO9" s="1"/>
      <c r="AP9" s="1"/>
      <c r="AQ9" s="1"/>
    </row>
    <row r="10" spans="1:43" x14ac:dyDescent="0.25">
      <c r="A10" s="9">
        <f t="shared" si="0"/>
        <v>7</v>
      </c>
      <c r="B10" s="103" t="s">
        <v>112</v>
      </c>
      <c r="C10" s="21" t="s">
        <v>112</v>
      </c>
      <c r="D10" s="11">
        <v>0</v>
      </c>
      <c r="E10" s="11">
        <v>0</v>
      </c>
      <c r="F10" s="11">
        <v>543000</v>
      </c>
      <c r="G10" s="11">
        <v>0</v>
      </c>
      <c r="H10" s="11">
        <v>422000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M10" s="1"/>
      <c r="AN10" s="1"/>
      <c r="AO10" s="1"/>
      <c r="AP10" s="1"/>
      <c r="AQ10" s="1"/>
    </row>
    <row r="11" spans="1:43" x14ac:dyDescent="0.25">
      <c r="A11" s="9">
        <f t="shared" si="0"/>
        <v>8</v>
      </c>
      <c r="B11" s="103" t="s">
        <v>39</v>
      </c>
      <c r="C11" s="21" t="s">
        <v>39</v>
      </c>
      <c r="D11" s="11">
        <v>0</v>
      </c>
      <c r="E11" s="11">
        <v>0</v>
      </c>
      <c r="F11" s="11">
        <v>603000</v>
      </c>
      <c r="G11" s="11">
        <v>563000</v>
      </c>
      <c r="H11" s="11">
        <v>503000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M11" s="1"/>
      <c r="AN11" s="1"/>
      <c r="AO11" s="1"/>
      <c r="AP11" s="1"/>
      <c r="AQ11" s="1"/>
    </row>
    <row r="12" spans="1:43" x14ac:dyDescent="0.25">
      <c r="A12" s="9">
        <f t="shared" si="0"/>
        <v>9</v>
      </c>
      <c r="B12" s="103" t="s">
        <v>437</v>
      </c>
      <c r="C12" s="21" t="s">
        <v>437</v>
      </c>
      <c r="D12" s="11">
        <v>0</v>
      </c>
      <c r="E12" s="11">
        <v>0</v>
      </c>
      <c r="F12" s="11">
        <v>372000</v>
      </c>
      <c r="G12" s="11">
        <v>342000</v>
      </c>
      <c r="H12" s="11">
        <v>302000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M12" s="1"/>
      <c r="AN12" s="1"/>
      <c r="AO12" s="1"/>
      <c r="AP12" s="1"/>
      <c r="AQ12" s="1"/>
    </row>
    <row r="13" spans="1:43" x14ac:dyDescent="0.25">
      <c r="A13" s="9">
        <f t="shared" si="0"/>
        <v>10</v>
      </c>
      <c r="B13" s="103" t="s">
        <v>118</v>
      </c>
      <c r="C13" s="21" t="s">
        <v>118</v>
      </c>
      <c r="D13" s="11">
        <v>0</v>
      </c>
      <c r="E13" s="11">
        <v>0</v>
      </c>
      <c r="F13" s="11">
        <v>402000</v>
      </c>
      <c r="G13" s="11">
        <v>372000</v>
      </c>
      <c r="H13" s="11">
        <v>352000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M13" s="1"/>
      <c r="AN13" s="1"/>
      <c r="AO13" s="1"/>
      <c r="AP13" s="1"/>
      <c r="AQ13" s="1"/>
    </row>
    <row r="14" spans="1:43" x14ac:dyDescent="0.25">
      <c r="A14" s="9">
        <f t="shared" si="0"/>
        <v>11</v>
      </c>
      <c r="B14" s="103" t="s">
        <v>143</v>
      </c>
      <c r="C14" s="21" t="s">
        <v>143</v>
      </c>
      <c r="D14" s="11">
        <v>0</v>
      </c>
      <c r="E14" s="11">
        <v>0</v>
      </c>
      <c r="F14" s="11">
        <v>463000</v>
      </c>
      <c r="G14" s="11">
        <v>432000</v>
      </c>
      <c r="H14" s="11">
        <v>382000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M14" s="1"/>
      <c r="AN14" s="1"/>
      <c r="AO14" s="1"/>
      <c r="AP14" s="1"/>
      <c r="AQ14" s="1"/>
    </row>
    <row r="15" spans="1:43" ht="31.5" x14ac:dyDescent="0.25">
      <c r="A15" s="9">
        <f t="shared" si="0"/>
        <v>12</v>
      </c>
      <c r="B15" s="103" t="s">
        <v>119</v>
      </c>
      <c r="C15" s="21" t="s">
        <v>129</v>
      </c>
      <c r="D15" s="11">
        <v>0</v>
      </c>
      <c r="E15" s="11">
        <v>0</v>
      </c>
      <c r="F15" s="11">
        <v>402000</v>
      </c>
      <c r="G15" s="11">
        <v>372000</v>
      </c>
      <c r="H15" s="11">
        <v>355000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M15" s="1"/>
      <c r="AN15" s="1"/>
      <c r="AO15" s="1"/>
      <c r="AP15" s="1"/>
      <c r="AQ15" s="1"/>
    </row>
    <row r="16" spans="1:43" x14ac:dyDescent="0.25">
      <c r="A16" s="9">
        <f t="shared" si="0"/>
        <v>13</v>
      </c>
      <c r="B16" s="103" t="s">
        <v>129</v>
      </c>
      <c r="C16" s="21" t="s">
        <v>119</v>
      </c>
      <c r="D16" s="11">
        <v>0</v>
      </c>
      <c r="E16" s="11">
        <v>0</v>
      </c>
      <c r="F16" s="11">
        <v>443000</v>
      </c>
      <c r="G16" s="11">
        <v>382000</v>
      </c>
      <c r="H16" s="11">
        <v>321000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M16" s="1"/>
      <c r="AN16" s="1"/>
      <c r="AO16" s="1"/>
      <c r="AP16" s="1"/>
      <c r="AQ16" s="1"/>
    </row>
    <row r="17" spans="1:43" x14ac:dyDescent="0.25">
      <c r="A17" s="9">
        <f t="shared" si="0"/>
        <v>14</v>
      </c>
      <c r="B17" s="103" t="s">
        <v>543</v>
      </c>
      <c r="C17" s="21" t="s">
        <v>438</v>
      </c>
      <c r="D17" s="11">
        <v>0</v>
      </c>
      <c r="E17" s="11">
        <v>0</v>
      </c>
      <c r="F17" s="11">
        <v>1307000</v>
      </c>
      <c r="G17" s="11">
        <v>1256000</v>
      </c>
      <c r="H17" s="11">
        <v>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M17" s="1"/>
      <c r="AN17" s="1"/>
      <c r="AO17" s="1"/>
      <c r="AP17" s="1"/>
      <c r="AQ17" s="1"/>
    </row>
    <row r="18" spans="1:43" ht="31.5" x14ac:dyDescent="0.25">
      <c r="A18" s="9">
        <f t="shared" si="0"/>
        <v>15</v>
      </c>
      <c r="B18" s="103" t="s">
        <v>142</v>
      </c>
      <c r="C18" s="21" t="s">
        <v>142</v>
      </c>
      <c r="D18" s="11">
        <v>0</v>
      </c>
      <c r="E18" s="11">
        <v>0</v>
      </c>
      <c r="F18" s="11">
        <v>1287000</v>
      </c>
      <c r="G18" s="11">
        <v>1277000</v>
      </c>
      <c r="H18" s="11">
        <v>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M18" s="1"/>
      <c r="AN18" s="1"/>
      <c r="AO18" s="1"/>
      <c r="AP18" s="1"/>
      <c r="AQ18" s="1"/>
    </row>
    <row r="19" spans="1:43" x14ac:dyDescent="0.25">
      <c r="A19" s="9">
        <f t="shared" si="0"/>
        <v>16</v>
      </c>
      <c r="B19" s="103" t="s">
        <v>544</v>
      </c>
      <c r="C19" s="21" t="s">
        <v>439</v>
      </c>
      <c r="D19" s="11">
        <v>0</v>
      </c>
      <c r="E19" s="11">
        <v>0</v>
      </c>
      <c r="F19" s="11">
        <v>804000</v>
      </c>
      <c r="G19" s="11">
        <v>784000</v>
      </c>
      <c r="H19" s="11"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M19" s="1"/>
      <c r="AN19" s="1"/>
      <c r="AO19" s="1"/>
      <c r="AP19" s="1"/>
      <c r="AQ19" s="1"/>
    </row>
    <row r="20" spans="1:43" x14ac:dyDescent="0.25">
      <c r="A20" s="9">
        <f t="shared" si="0"/>
        <v>17</v>
      </c>
      <c r="B20" s="103" t="s">
        <v>121</v>
      </c>
      <c r="C20" s="21" t="s">
        <v>121</v>
      </c>
      <c r="D20" s="11">
        <v>0</v>
      </c>
      <c r="E20" s="11">
        <v>0</v>
      </c>
      <c r="F20" s="11">
        <v>854000</v>
      </c>
      <c r="G20" s="11">
        <v>824000</v>
      </c>
      <c r="H20" s="11">
        <v>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M20" s="1"/>
      <c r="AN20" s="1"/>
      <c r="AO20" s="1"/>
      <c r="AP20" s="1"/>
      <c r="AQ20" s="1"/>
    </row>
    <row r="21" spans="1:43" x14ac:dyDescent="0.25">
      <c r="A21" s="9">
        <f t="shared" si="0"/>
        <v>18</v>
      </c>
      <c r="B21" s="103" t="s">
        <v>141</v>
      </c>
      <c r="C21" s="21" t="s">
        <v>141</v>
      </c>
      <c r="D21" s="11">
        <v>0</v>
      </c>
      <c r="E21" s="11">
        <v>0</v>
      </c>
      <c r="F21" s="11">
        <v>905000</v>
      </c>
      <c r="G21" s="11">
        <v>885000</v>
      </c>
      <c r="H21" s="11">
        <v>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M21" s="1"/>
      <c r="AN21" s="1"/>
      <c r="AO21" s="1"/>
      <c r="AP21" s="1"/>
      <c r="AQ21" s="1"/>
    </row>
    <row r="22" spans="1:43" ht="31.5" x14ac:dyDescent="0.25">
      <c r="A22" s="9">
        <f t="shared" si="0"/>
        <v>19</v>
      </c>
      <c r="B22" s="103" t="s">
        <v>153</v>
      </c>
      <c r="C22" s="21" t="s">
        <v>153</v>
      </c>
      <c r="D22" s="11">
        <v>1709000</v>
      </c>
      <c r="E22" s="11">
        <v>0</v>
      </c>
      <c r="F22" s="11">
        <v>337000</v>
      </c>
      <c r="G22" s="11">
        <v>276000</v>
      </c>
      <c r="H22" s="11">
        <v>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M22" s="1"/>
      <c r="AN22" s="1"/>
      <c r="AO22" s="1"/>
      <c r="AP22" s="1"/>
      <c r="AQ22" s="1"/>
    </row>
    <row r="23" spans="1:43" x14ac:dyDescent="0.25">
      <c r="A23" s="9">
        <f t="shared" si="0"/>
        <v>20</v>
      </c>
      <c r="B23" s="103" t="s">
        <v>114</v>
      </c>
      <c r="C23" s="21" t="s">
        <v>155</v>
      </c>
      <c r="D23" s="11">
        <v>2011000</v>
      </c>
      <c r="E23" s="11">
        <v>0</v>
      </c>
      <c r="F23" s="11">
        <v>377000</v>
      </c>
      <c r="G23" s="11">
        <v>362000</v>
      </c>
      <c r="H23" s="11">
        <v>342000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M23" s="1"/>
      <c r="AN23" s="1"/>
      <c r="AO23" s="1"/>
      <c r="AP23" s="1"/>
      <c r="AQ23" s="1"/>
    </row>
    <row r="24" spans="1:43" ht="47.25" x14ac:dyDescent="0.25">
      <c r="A24" s="9">
        <f t="shared" si="0"/>
        <v>21</v>
      </c>
      <c r="B24" s="103" t="s">
        <v>155</v>
      </c>
      <c r="C24" s="21" t="s">
        <v>152</v>
      </c>
      <c r="D24" s="11">
        <v>1156000</v>
      </c>
      <c r="E24" s="11">
        <v>0</v>
      </c>
      <c r="F24" s="11">
        <v>282000</v>
      </c>
      <c r="G24" s="11">
        <v>251000</v>
      </c>
      <c r="H24" s="11">
        <v>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M24" s="1"/>
      <c r="AN24" s="1"/>
      <c r="AO24" s="1"/>
      <c r="AP24" s="1"/>
      <c r="AQ24" s="1"/>
    </row>
    <row r="25" spans="1:43" ht="31.5" x14ac:dyDescent="0.25">
      <c r="A25" s="9">
        <f t="shared" si="0"/>
        <v>22</v>
      </c>
      <c r="B25" s="103" t="s">
        <v>152</v>
      </c>
      <c r="C25" s="21" t="s">
        <v>114</v>
      </c>
      <c r="D25" s="11">
        <v>0</v>
      </c>
      <c r="E25" s="11">
        <v>0</v>
      </c>
      <c r="F25" s="11">
        <v>452000</v>
      </c>
      <c r="G25" s="11">
        <v>402000</v>
      </c>
      <c r="H25" s="11">
        <v>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M25" s="1"/>
      <c r="AN25" s="1"/>
      <c r="AO25" s="1"/>
      <c r="AP25" s="1"/>
      <c r="AQ25" s="1"/>
    </row>
    <row r="26" spans="1:43" x14ac:dyDescent="0.25">
      <c r="A26" s="9">
        <f t="shared" si="0"/>
        <v>23</v>
      </c>
      <c r="B26" s="103" t="s">
        <v>125</v>
      </c>
      <c r="C26" s="21" t="s">
        <v>125</v>
      </c>
      <c r="D26" s="11">
        <v>0</v>
      </c>
      <c r="E26" s="11">
        <v>0</v>
      </c>
      <c r="F26" s="11">
        <v>402000</v>
      </c>
      <c r="G26" s="11">
        <v>362000</v>
      </c>
      <c r="H26" s="11">
        <v>342000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M26" s="1"/>
      <c r="AN26" s="1"/>
      <c r="AO26" s="1"/>
      <c r="AP26" s="1"/>
      <c r="AQ26" s="1"/>
    </row>
    <row r="27" spans="1:43" x14ac:dyDescent="0.25">
      <c r="A27" s="9">
        <f t="shared" si="0"/>
        <v>24</v>
      </c>
      <c r="B27" s="103" t="s">
        <v>144</v>
      </c>
      <c r="C27" s="21" t="s">
        <v>144</v>
      </c>
      <c r="D27" s="11">
        <v>0</v>
      </c>
      <c r="E27" s="11">
        <v>0</v>
      </c>
      <c r="F27" s="11">
        <v>372000</v>
      </c>
      <c r="G27" s="11">
        <v>362000</v>
      </c>
      <c r="H27" s="11">
        <v>352000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M27" s="1"/>
      <c r="AN27" s="1"/>
      <c r="AO27" s="1"/>
      <c r="AP27" s="1"/>
      <c r="AQ27" s="1"/>
    </row>
    <row r="28" spans="1:43" x14ac:dyDescent="0.25">
      <c r="A28" s="9">
        <f t="shared" si="0"/>
        <v>25</v>
      </c>
      <c r="B28" s="103" t="s">
        <v>124</v>
      </c>
      <c r="C28" s="21" t="s">
        <v>124</v>
      </c>
      <c r="D28" s="11">
        <v>0</v>
      </c>
      <c r="E28" s="11">
        <v>0</v>
      </c>
      <c r="F28" s="11">
        <v>377000</v>
      </c>
      <c r="G28" s="11">
        <v>332000</v>
      </c>
      <c r="H28" s="11">
        <v>302000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M28" s="1"/>
      <c r="AN28" s="1"/>
      <c r="AO28" s="1"/>
      <c r="AP28" s="1"/>
      <c r="AQ28" s="1"/>
    </row>
    <row r="29" spans="1:43" ht="31.5" x14ac:dyDescent="0.25">
      <c r="A29" s="9">
        <f t="shared" si="0"/>
        <v>26</v>
      </c>
      <c r="B29" s="103" t="s">
        <v>145</v>
      </c>
      <c r="C29" s="21" t="s">
        <v>145</v>
      </c>
      <c r="D29" s="11">
        <v>0</v>
      </c>
      <c r="E29" s="11">
        <v>0</v>
      </c>
      <c r="F29" s="11">
        <v>362000</v>
      </c>
      <c r="G29" s="11">
        <v>352000</v>
      </c>
      <c r="H29" s="11">
        <v>342000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M29" s="1"/>
      <c r="AN29" s="1"/>
      <c r="AO29" s="1"/>
      <c r="AP29" s="1"/>
      <c r="AQ29" s="1"/>
    </row>
    <row r="30" spans="1:43" x14ac:dyDescent="0.25">
      <c r="A30" s="9">
        <f t="shared" si="0"/>
        <v>27</v>
      </c>
      <c r="B30" s="103" t="s">
        <v>126</v>
      </c>
      <c r="C30" s="21" t="s">
        <v>126</v>
      </c>
      <c r="D30" s="11">
        <v>0</v>
      </c>
      <c r="E30" s="11">
        <v>0</v>
      </c>
      <c r="F30" s="11">
        <v>352000</v>
      </c>
      <c r="G30" s="11">
        <v>312000</v>
      </c>
      <c r="H30" s="11">
        <v>302000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M30" s="1"/>
      <c r="AN30" s="1"/>
      <c r="AO30" s="1"/>
      <c r="AP30" s="1"/>
      <c r="AQ30" s="1"/>
    </row>
    <row r="31" spans="1:43" x14ac:dyDescent="0.25">
      <c r="A31" s="9">
        <f t="shared" si="0"/>
        <v>28</v>
      </c>
      <c r="B31" s="103" t="s">
        <v>40</v>
      </c>
      <c r="C31" s="21" t="s">
        <v>40</v>
      </c>
      <c r="D31" s="11">
        <v>0</v>
      </c>
      <c r="E31" s="11">
        <v>0</v>
      </c>
      <c r="F31" s="11">
        <v>1106000</v>
      </c>
      <c r="G31" s="11">
        <v>1055000</v>
      </c>
      <c r="H31" s="11">
        <v>1046000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M31" s="1"/>
      <c r="AN31" s="1"/>
      <c r="AO31" s="1"/>
      <c r="AP31" s="1"/>
      <c r="AQ31" s="1"/>
    </row>
    <row r="32" spans="1:43" ht="31.5" x14ac:dyDescent="0.25">
      <c r="A32" s="9">
        <f t="shared" si="0"/>
        <v>29</v>
      </c>
      <c r="B32" s="103" t="s">
        <v>156</v>
      </c>
      <c r="C32" s="21" t="s">
        <v>156</v>
      </c>
      <c r="D32" s="11">
        <v>0</v>
      </c>
      <c r="E32" s="11">
        <v>0</v>
      </c>
      <c r="F32" s="11">
        <v>1055000</v>
      </c>
      <c r="G32" s="11">
        <v>1005000</v>
      </c>
      <c r="H32" s="11">
        <v>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M32" s="1"/>
      <c r="AN32" s="1"/>
      <c r="AO32" s="1"/>
      <c r="AP32" s="1"/>
      <c r="AQ32" s="1"/>
    </row>
    <row r="33" spans="1:43" x14ac:dyDescent="0.25">
      <c r="A33" s="9">
        <f t="shared" si="0"/>
        <v>30</v>
      </c>
      <c r="B33" s="103" t="s">
        <v>157</v>
      </c>
      <c r="C33" s="21" t="s">
        <v>157</v>
      </c>
      <c r="D33" s="11">
        <v>0</v>
      </c>
      <c r="E33" s="11">
        <v>0</v>
      </c>
      <c r="F33" s="11">
        <v>1156000</v>
      </c>
      <c r="G33" s="11">
        <v>1127000</v>
      </c>
      <c r="H33" s="11">
        <v>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M33" s="1"/>
      <c r="AN33" s="1"/>
      <c r="AO33" s="1"/>
      <c r="AP33" s="1"/>
      <c r="AQ33" s="1"/>
    </row>
    <row r="34" spans="1:43" x14ac:dyDescent="0.25">
      <c r="A34" s="9">
        <f t="shared" si="0"/>
        <v>31</v>
      </c>
      <c r="B34" s="103" t="s">
        <v>127</v>
      </c>
      <c r="C34" s="21" t="s">
        <v>127</v>
      </c>
      <c r="D34" s="11">
        <v>0</v>
      </c>
      <c r="E34" s="11">
        <v>0</v>
      </c>
      <c r="F34" s="11">
        <v>955000</v>
      </c>
      <c r="G34" s="11">
        <v>945000</v>
      </c>
      <c r="H34" s="11">
        <v>935000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M34" s="1"/>
      <c r="AN34" s="1"/>
      <c r="AO34" s="1"/>
      <c r="AP34" s="1"/>
      <c r="AQ34" s="1"/>
    </row>
    <row r="35" spans="1:43" x14ac:dyDescent="0.25">
      <c r="A35" s="9">
        <f t="shared" si="0"/>
        <v>32</v>
      </c>
      <c r="B35" s="103" t="s">
        <v>128</v>
      </c>
      <c r="C35" s="21" t="s">
        <v>128</v>
      </c>
      <c r="D35" s="11">
        <v>0</v>
      </c>
      <c r="E35" s="11">
        <v>0</v>
      </c>
      <c r="F35" s="11">
        <v>1005000</v>
      </c>
      <c r="G35" s="11">
        <v>996000</v>
      </c>
      <c r="H35" s="11"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M35" s="1"/>
      <c r="AN35" s="1"/>
      <c r="AO35" s="1"/>
      <c r="AP35" s="1"/>
      <c r="AQ35" s="1"/>
    </row>
    <row r="36" spans="1:43" ht="47.25" x14ac:dyDescent="0.25">
      <c r="A36" s="9">
        <f t="shared" si="0"/>
        <v>33</v>
      </c>
      <c r="B36" s="103" t="s">
        <v>149</v>
      </c>
      <c r="C36" s="21" t="s">
        <v>149</v>
      </c>
      <c r="D36" s="11">
        <v>1106000</v>
      </c>
      <c r="E36" s="11">
        <v>0</v>
      </c>
      <c r="F36" s="11">
        <v>282000</v>
      </c>
      <c r="G36" s="11">
        <v>262000</v>
      </c>
      <c r="H36" s="11">
        <v>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M36" s="1"/>
      <c r="AN36" s="1"/>
      <c r="AO36" s="1"/>
      <c r="AP36" s="1"/>
      <c r="AQ36" s="1"/>
    </row>
    <row r="37" spans="1:43" ht="31.5" x14ac:dyDescent="0.25">
      <c r="A37" s="9">
        <f t="shared" si="0"/>
        <v>34</v>
      </c>
      <c r="B37" s="103" t="s">
        <v>111</v>
      </c>
      <c r="C37" s="21" t="s">
        <v>111</v>
      </c>
      <c r="D37" s="11">
        <v>0</v>
      </c>
      <c r="E37" s="11">
        <v>0</v>
      </c>
      <c r="F37" s="11">
        <v>342000</v>
      </c>
      <c r="G37" s="11">
        <v>332000</v>
      </c>
      <c r="H37" s="11">
        <v>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M37" s="1"/>
      <c r="AN37" s="1"/>
      <c r="AO37" s="1"/>
      <c r="AP37" s="1"/>
      <c r="AQ37" s="1"/>
    </row>
    <row r="38" spans="1:43" ht="24.75" customHeight="1" x14ac:dyDescent="0.25">
      <c r="A38" s="9">
        <f t="shared" si="0"/>
        <v>35</v>
      </c>
      <c r="B38" s="103" t="s">
        <v>151</v>
      </c>
      <c r="C38" s="21" t="s">
        <v>151</v>
      </c>
      <c r="D38" s="11">
        <v>1608000</v>
      </c>
      <c r="E38" s="11">
        <v>0</v>
      </c>
      <c r="F38" s="11">
        <v>342000</v>
      </c>
      <c r="G38" s="11">
        <v>312000</v>
      </c>
      <c r="H38" s="11">
        <v>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M38" s="1"/>
      <c r="AN38" s="1"/>
      <c r="AO38" s="1"/>
      <c r="AP38" s="1"/>
      <c r="AQ38" s="1"/>
    </row>
    <row r="39" spans="1:43" ht="47.25" x14ac:dyDescent="0.25">
      <c r="A39" s="9">
        <f t="shared" si="0"/>
        <v>36</v>
      </c>
      <c r="B39" s="103" t="s">
        <v>150</v>
      </c>
      <c r="C39" s="21" t="s">
        <v>150</v>
      </c>
      <c r="D39" s="11">
        <v>1328000</v>
      </c>
      <c r="E39" s="11">
        <v>0</v>
      </c>
      <c r="F39" s="11">
        <v>321000</v>
      </c>
      <c r="G39" s="11">
        <v>302000</v>
      </c>
      <c r="H39" s="11">
        <v>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M39" s="1"/>
      <c r="AN39" s="1"/>
      <c r="AO39" s="1"/>
      <c r="AP39" s="1"/>
      <c r="AQ39" s="1"/>
    </row>
    <row r="40" spans="1:43" x14ac:dyDescent="0.25">
      <c r="A40" s="9">
        <f t="shared" si="0"/>
        <v>37</v>
      </c>
      <c r="B40" s="107" t="s">
        <v>147</v>
      </c>
      <c r="C40" s="42" t="s">
        <v>429</v>
      </c>
      <c r="D40" s="41">
        <v>1328000</v>
      </c>
      <c r="E40" s="41"/>
      <c r="F40" s="41">
        <v>321000</v>
      </c>
      <c r="G40" s="41">
        <v>302000</v>
      </c>
      <c r="H40" s="1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M40" s="1"/>
      <c r="AN40" s="1"/>
      <c r="AO40" s="1"/>
      <c r="AP40" s="1"/>
      <c r="AQ40" s="1"/>
    </row>
    <row r="41" spans="1:43" ht="31.5" x14ac:dyDescent="0.25">
      <c r="A41" s="9">
        <f t="shared" si="0"/>
        <v>38</v>
      </c>
      <c r="B41" s="103" t="s">
        <v>146</v>
      </c>
      <c r="C41" s="21" t="s">
        <v>147</v>
      </c>
      <c r="D41" s="11">
        <v>1106000</v>
      </c>
      <c r="E41" s="11">
        <v>0</v>
      </c>
      <c r="F41" s="11">
        <v>0</v>
      </c>
      <c r="G41" s="11">
        <v>282000</v>
      </c>
      <c r="H41" s="11">
        <v>266000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M41" s="1"/>
      <c r="AN41" s="1"/>
      <c r="AO41" s="1"/>
      <c r="AP41" s="1"/>
      <c r="AQ41" s="1"/>
    </row>
    <row r="42" spans="1:43" x14ac:dyDescent="0.25">
      <c r="A42" s="9">
        <f t="shared" si="0"/>
        <v>39</v>
      </c>
      <c r="B42" s="103" t="s">
        <v>130</v>
      </c>
      <c r="C42" s="21" t="s">
        <v>130</v>
      </c>
      <c r="D42" s="11">
        <v>664000</v>
      </c>
      <c r="E42" s="11">
        <v>0</v>
      </c>
      <c r="F42" s="11">
        <v>151000</v>
      </c>
      <c r="G42" s="11">
        <v>140000</v>
      </c>
      <c r="H42" s="11">
        <v>131000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M42" s="1"/>
      <c r="AN42" s="1"/>
      <c r="AO42" s="1"/>
      <c r="AP42" s="1"/>
      <c r="AQ42" s="1"/>
    </row>
    <row r="43" spans="1:43" x14ac:dyDescent="0.25">
      <c r="A43" s="9">
        <f t="shared" si="0"/>
        <v>40</v>
      </c>
      <c r="B43" s="103" t="s">
        <v>148</v>
      </c>
      <c r="C43" s="21" t="s">
        <v>148</v>
      </c>
      <c r="D43" s="11">
        <v>0</v>
      </c>
      <c r="E43" s="11">
        <v>0</v>
      </c>
      <c r="F43" s="11">
        <v>352000</v>
      </c>
      <c r="G43" s="11">
        <v>332000</v>
      </c>
      <c r="H43" s="11">
        <v>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M43" s="1"/>
      <c r="AN43" s="1"/>
      <c r="AO43" s="1"/>
      <c r="AP43" s="1"/>
      <c r="AQ43" s="1"/>
    </row>
    <row r="44" spans="1:43" x14ac:dyDescent="0.25">
      <c r="A44" s="9">
        <f t="shared" si="0"/>
        <v>41</v>
      </c>
      <c r="B44" s="107" t="s">
        <v>545</v>
      </c>
      <c r="C44" s="21" t="s">
        <v>246</v>
      </c>
      <c r="D44" s="11">
        <v>0</v>
      </c>
      <c r="E44" s="11">
        <v>352000</v>
      </c>
      <c r="F44" s="11">
        <v>321000</v>
      </c>
      <c r="G44" s="11">
        <v>302000</v>
      </c>
      <c r="H44" s="11">
        <v>271000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M44" s="1"/>
      <c r="AN44" s="1"/>
      <c r="AO44" s="1"/>
      <c r="AP44" s="1"/>
      <c r="AQ44" s="1"/>
    </row>
    <row r="45" spans="1:43" x14ac:dyDescent="0.25">
      <c r="A45" s="9">
        <f t="shared" si="0"/>
        <v>42</v>
      </c>
      <c r="B45" s="103" t="s">
        <v>441</v>
      </c>
      <c r="C45" s="21" t="s">
        <v>440</v>
      </c>
      <c r="D45" s="11">
        <v>0</v>
      </c>
      <c r="E45" s="11">
        <v>0</v>
      </c>
      <c r="F45" s="11">
        <v>1558000</v>
      </c>
      <c r="G45" s="11">
        <v>1457000</v>
      </c>
      <c r="H45" s="11">
        <v>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M45" s="1"/>
      <c r="AN45" s="1"/>
      <c r="AO45" s="1"/>
      <c r="AP45" s="1"/>
      <c r="AQ45" s="1"/>
    </row>
    <row r="46" spans="1:43" x14ac:dyDescent="0.25">
      <c r="A46" s="9">
        <f t="shared" si="0"/>
        <v>43</v>
      </c>
      <c r="B46" s="103" t="s">
        <v>131</v>
      </c>
      <c r="C46" s="21" t="s">
        <v>441</v>
      </c>
      <c r="D46" s="11">
        <v>0</v>
      </c>
      <c r="E46" s="11">
        <v>0</v>
      </c>
      <c r="F46" s="11">
        <v>684000</v>
      </c>
      <c r="G46" s="11">
        <v>653000</v>
      </c>
      <c r="H46" s="11">
        <v>623000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M46" s="1"/>
      <c r="AN46" s="1"/>
      <c r="AO46" s="1"/>
      <c r="AP46" s="1"/>
      <c r="AQ46" s="1"/>
    </row>
    <row r="47" spans="1:43" x14ac:dyDescent="0.25">
      <c r="A47" s="9">
        <f t="shared" si="0"/>
        <v>44</v>
      </c>
      <c r="B47" s="103" t="s">
        <v>140</v>
      </c>
      <c r="C47" s="21" t="s">
        <v>131</v>
      </c>
      <c r="D47" s="11">
        <v>0</v>
      </c>
      <c r="E47" s="11">
        <v>0</v>
      </c>
      <c r="F47" s="11">
        <v>633000</v>
      </c>
      <c r="G47" s="11">
        <v>603000</v>
      </c>
      <c r="H47" s="11">
        <v>594000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M47" s="1"/>
      <c r="AN47" s="1"/>
      <c r="AO47" s="1"/>
      <c r="AP47" s="1"/>
      <c r="AQ47" s="1"/>
    </row>
    <row r="48" spans="1:43" x14ac:dyDescent="0.25">
      <c r="A48" s="9">
        <f t="shared" si="0"/>
        <v>45</v>
      </c>
      <c r="B48" s="103" t="s">
        <v>122</v>
      </c>
      <c r="C48" s="21" t="s">
        <v>140</v>
      </c>
      <c r="D48" s="11">
        <v>0</v>
      </c>
      <c r="E48" s="11">
        <v>0</v>
      </c>
      <c r="F48" s="11">
        <v>603000</v>
      </c>
      <c r="G48" s="11">
        <v>573000</v>
      </c>
      <c r="H48" s="11">
        <v>533000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M48" s="1"/>
      <c r="AN48" s="1"/>
      <c r="AO48" s="1"/>
      <c r="AP48" s="1"/>
      <c r="AQ48" s="1"/>
    </row>
    <row r="49" spans="1:43" x14ac:dyDescent="0.25">
      <c r="A49" s="9">
        <f t="shared" si="0"/>
        <v>46</v>
      </c>
      <c r="B49" s="103" t="s">
        <v>135</v>
      </c>
      <c r="C49" s="21" t="s">
        <v>122</v>
      </c>
      <c r="D49" s="11">
        <v>0</v>
      </c>
      <c r="E49" s="11">
        <v>0</v>
      </c>
      <c r="F49" s="11">
        <v>754000</v>
      </c>
      <c r="G49" s="11">
        <v>744000</v>
      </c>
      <c r="H49" s="11">
        <v>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M49" s="1"/>
      <c r="AN49" s="1"/>
      <c r="AO49" s="1"/>
      <c r="AP49" s="1"/>
      <c r="AQ49" s="1"/>
    </row>
    <row r="50" spans="1:43" x14ac:dyDescent="0.25">
      <c r="A50" s="9">
        <f t="shared" si="0"/>
        <v>47</v>
      </c>
      <c r="B50" s="103" t="s">
        <v>123</v>
      </c>
      <c r="C50" s="21" t="s">
        <v>135</v>
      </c>
      <c r="D50" s="11">
        <v>0</v>
      </c>
      <c r="E50" s="11">
        <v>0</v>
      </c>
      <c r="F50" s="11">
        <v>452000</v>
      </c>
      <c r="G50" s="11">
        <v>422000</v>
      </c>
      <c r="H50" s="11">
        <v>402000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M50" s="1"/>
      <c r="AN50" s="1"/>
      <c r="AO50" s="1"/>
      <c r="AP50" s="1"/>
      <c r="AQ50" s="1"/>
    </row>
    <row r="51" spans="1:43" x14ac:dyDescent="0.25">
      <c r="A51" s="9">
        <f t="shared" si="0"/>
        <v>48</v>
      </c>
      <c r="B51" s="103" t="s">
        <v>137</v>
      </c>
      <c r="C51" s="21" t="s">
        <v>123</v>
      </c>
      <c r="D51" s="11">
        <v>0</v>
      </c>
      <c r="E51" s="11">
        <v>0</v>
      </c>
      <c r="F51" s="11">
        <v>784000</v>
      </c>
      <c r="G51" s="11">
        <v>764000</v>
      </c>
      <c r="H51" s="11">
        <v>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M51" s="1"/>
      <c r="AN51" s="1"/>
      <c r="AO51" s="1"/>
      <c r="AP51" s="1"/>
      <c r="AQ51" s="1"/>
    </row>
    <row r="52" spans="1:43" x14ac:dyDescent="0.25">
      <c r="A52" s="9">
        <f t="shared" si="0"/>
        <v>49</v>
      </c>
      <c r="B52" s="103" t="s">
        <v>116</v>
      </c>
      <c r="C52" s="21" t="s">
        <v>137</v>
      </c>
      <c r="D52" s="11">
        <v>0</v>
      </c>
      <c r="E52" s="11">
        <v>0</v>
      </c>
      <c r="F52" s="11">
        <v>543000</v>
      </c>
      <c r="G52" s="11">
        <v>503000</v>
      </c>
      <c r="H52" s="11">
        <v>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M52" s="1"/>
      <c r="AN52" s="1"/>
      <c r="AO52" s="1"/>
      <c r="AP52" s="1"/>
      <c r="AQ52" s="1"/>
    </row>
    <row r="53" spans="1:43" ht="31.5" x14ac:dyDescent="0.25">
      <c r="A53" s="9">
        <f t="shared" si="0"/>
        <v>50</v>
      </c>
      <c r="B53" s="103" t="s">
        <v>115</v>
      </c>
      <c r="C53" s="21" t="s">
        <v>116</v>
      </c>
      <c r="D53" s="11">
        <v>0</v>
      </c>
      <c r="E53" s="11">
        <v>0</v>
      </c>
      <c r="F53" s="11">
        <v>443000</v>
      </c>
      <c r="G53" s="11">
        <v>402000</v>
      </c>
      <c r="H53" s="11">
        <v>0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M53" s="1"/>
      <c r="AN53" s="1"/>
      <c r="AO53" s="1"/>
      <c r="AP53" s="1"/>
      <c r="AQ53" s="1"/>
    </row>
    <row r="54" spans="1:43" ht="31.5" x14ac:dyDescent="0.25">
      <c r="A54" s="9">
        <f t="shared" si="0"/>
        <v>51</v>
      </c>
      <c r="B54" s="103" t="s">
        <v>136</v>
      </c>
      <c r="C54" s="21" t="s">
        <v>136</v>
      </c>
      <c r="D54" s="11">
        <v>0</v>
      </c>
      <c r="E54" s="11">
        <v>0</v>
      </c>
      <c r="F54" s="11">
        <v>573000</v>
      </c>
      <c r="G54" s="11">
        <v>522000</v>
      </c>
      <c r="H54" s="11">
        <v>513000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M54" s="1"/>
      <c r="AN54" s="1"/>
      <c r="AO54" s="1"/>
      <c r="AP54" s="1"/>
      <c r="AQ54" s="1"/>
    </row>
    <row r="55" spans="1:43" x14ac:dyDescent="0.25">
      <c r="A55" s="9">
        <f t="shared" si="0"/>
        <v>52</v>
      </c>
      <c r="B55" s="103" t="s">
        <v>117</v>
      </c>
      <c r="C55" s="21" t="s">
        <v>117</v>
      </c>
      <c r="D55" s="11">
        <v>0</v>
      </c>
      <c r="E55" s="11">
        <v>0</v>
      </c>
      <c r="F55" s="11">
        <v>522000</v>
      </c>
      <c r="G55" s="11">
        <v>483000</v>
      </c>
      <c r="H55" s="11">
        <v>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M55" s="1"/>
      <c r="AN55" s="1"/>
      <c r="AO55" s="1"/>
      <c r="AP55" s="1"/>
      <c r="AQ55" s="1"/>
    </row>
    <row r="56" spans="1:43" x14ac:dyDescent="0.25">
      <c r="A56" s="9">
        <f t="shared" si="0"/>
        <v>53</v>
      </c>
      <c r="B56" s="103" t="s">
        <v>442</v>
      </c>
      <c r="C56" s="21" t="s">
        <v>115</v>
      </c>
      <c r="D56" s="11">
        <v>0</v>
      </c>
      <c r="E56" s="11">
        <v>0</v>
      </c>
      <c r="F56" s="11">
        <v>402000</v>
      </c>
      <c r="G56" s="11">
        <v>392000</v>
      </c>
      <c r="H56" s="11">
        <v>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M56" s="1"/>
      <c r="AN56" s="1"/>
      <c r="AO56" s="1"/>
      <c r="AP56" s="1"/>
      <c r="AQ56" s="1"/>
    </row>
    <row r="57" spans="1:43" x14ac:dyDescent="0.25">
      <c r="A57" s="9">
        <f t="shared" si="0"/>
        <v>54</v>
      </c>
      <c r="B57" s="103" t="s">
        <v>134</v>
      </c>
      <c r="C57" s="21" t="s">
        <v>442</v>
      </c>
      <c r="D57" s="11">
        <v>0</v>
      </c>
      <c r="E57" s="11">
        <v>0</v>
      </c>
      <c r="F57" s="11">
        <v>1256000</v>
      </c>
      <c r="G57" s="11">
        <v>1247000</v>
      </c>
      <c r="H57" s="11">
        <v>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M57" s="1"/>
      <c r="AN57" s="1"/>
      <c r="AO57" s="1"/>
      <c r="AP57" s="1"/>
      <c r="AQ57" s="1"/>
    </row>
    <row r="58" spans="1:43" x14ac:dyDescent="0.25">
      <c r="A58" s="9">
        <f t="shared" si="0"/>
        <v>55</v>
      </c>
      <c r="B58" s="103" t="s">
        <v>443</v>
      </c>
      <c r="C58" s="21" t="s">
        <v>134</v>
      </c>
      <c r="D58" s="11">
        <v>0</v>
      </c>
      <c r="E58" s="11">
        <v>0</v>
      </c>
      <c r="F58" s="11">
        <v>1106000</v>
      </c>
      <c r="G58" s="11">
        <v>1096000</v>
      </c>
      <c r="H58" s="11">
        <v>1086000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M58" s="1"/>
      <c r="AN58" s="1"/>
      <c r="AO58" s="1"/>
      <c r="AP58" s="1"/>
      <c r="AQ58" s="1"/>
    </row>
    <row r="59" spans="1:43" x14ac:dyDescent="0.25">
      <c r="A59" s="9">
        <f t="shared" si="0"/>
        <v>56</v>
      </c>
      <c r="B59" s="103" t="s">
        <v>444</v>
      </c>
      <c r="C59" s="21" t="s">
        <v>443</v>
      </c>
      <c r="D59" s="11">
        <v>0</v>
      </c>
      <c r="E59" s="11">
        <v>0</v>
      </c>
      <c r="F59" s="11">
        <v>1608000</v>
      </c>
      <c r="G59" s="11">
        <v>1558000</v>
      </c>
      <c r="H59" s="11">
        <v>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M59" s="1"/>
      <c r="AN59" s="1"/>
      <c r="AO59" s="1"/>
      <c r="AP59" s="1"/>
      <c r="AQ59" s="1"/>
    </row>
    <row r="60" spans="1:43" x14ac:dyDescent="0.25">
      <c r="A60" s="9">
        <f t="shared" si="0"/>
        <v>57</v>
      </c>
      <c r="B60" s="103" t="s">
        <v>158</v>
      </c>
      <c r="C60" s="21" t="s">
        <v>444</v>
      </c>
      <c r="D60" s="11">
        <v>0</v>
      </c>
      <c r="E60" s="11">
        <v>0</v>
      </c>
      <c r="F60" s="11">
        <v>382000</v>
      </c>
      <c r="G60" s="11">
        <v>372000</v>
      </c>
      <c r="H60" s="11">
        <v>0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M60" s="1"/>
      <c r="AN60" s="1"/>
      <c r="AO60" s="1"/>
      <c r="AP60" s="1"/>
      <c r="AQ60" s="1"/>
    </row>
    <row r="61" spans="1:43" ht="31.5" x14ac:dyDescent="0.25">
      <c r="A61" s="9">
        <f t="shared" si="0"/>
        <v>58</v>
      </c>
      <c r="B61" s="103" t="s">
        <v>159</v>
      </c>
      <c r="C61" s="21" t="s">
        <v>158</v>
      </c>
      <c r="D61" s="11">
        <v>0</v>
      </c>
      <c r="E61" s="11">
        <v>0</v>
      </c>
      <c r="F61" s="11">
        <v>382000</v>
      </c>
      <c r="G61" s="11">
        <v>372000</v>
      </c>
      <c r="H61" s="11">
        <v>0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M61" s="1"/>
      <c r="AN61" s="1"/>
      <c r="AO61" s="1"/>
      <c r="AP61" s="1"/>
      <c r="AQ61" s="1"/>
    </row>
    <row r="62" spans="1:43" x14ac:dyDescent="0.25">
      <c r="A62" s="9">
        <f t="shared" si="0"/>
        <v>59</v>
      </c>
      <c r="B62" s="103" t="s">
        <v>160</v>
      </c>
      <c r="C62" s="21" t="s">
        <v>159</v>
      </c>
      <c r="D62" s="11">
        <v>723000</v>
      </c>
      <c r="E62" s="11">
        <v>0</v>
      </c>
      <c r="F62" s="11">
        <v>251000</v>
      </c>
      <c r="G62" s="11">
        <v>241000</v>
      </c>
      <c r="H62" s="11">
        <v>231000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M62" s="1"/>
      <c r="AN62" s="1"/>
      <c r="AO62" s="1"/>
      <c r="AP62" s="1"/>
      <c r="AQ62" s="1"/>
    </row>
    <row r="63" spans="1:43" ht="63" x14ac:dyDescent="0.25">
      <c r="A63" s="9">
        <f t="shared" si="0"/>
        <v>60</v>
      </c>
      <c r="B63" s="103" t="s">
        <v>139</v>
      </c>
      <c r="C63" s="21" t="s">
        <v>160</v>
      </c>
      <c r="D63" s="11">
        <v>1156000</v>
      </c>
      <c r="E63" s="11">
        <v>0</v>
      </c>
      <c r="F63" s="11">
        <v>282000</v>
      </c>
      <c r="G63" s="11">
        <v>262000</v>
      </c>
      <c r="H63" s="11">
        <v>251000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M63" s="1"/>
      <c r="AN63" s="1"/>
      <c r="AO63" s="1"/>
      <c r="AP63" s="1"/>
      <c r="AQ63" s="1"/>
    </row>
    <row r="64" spans="1:43" x14ac:dyDescent="0.25">
      <c r="A64" s="9">
        <f t="shared" si="0"/>
        <v>61</v>
      </c>
      <c r="B64" s="107" t="s">
        <v>546</v>
      </c>
      <c r="C64" s="48" t="s">
        <v>445</v>
      </c>
      <c r="D64" s="11">
        <v>1407000</v>
      </c>
      <c r="E64" s="11">
        <v>0</v>
      </c>
      <c r="F64" s="11">
        <v>362000</v>
      </c>
      <c r="G64" s="11">
        <v>302000</v>
      </c>
      <c r="H64" s="11">
        <v>282000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M64" s="1"/>
      <c r="AN64" s="1"/>
      <c r="AO64" s="1"/>
      <c r="AP64" s="1"/>
      <c r="AQ64" s="1"/>
    </row>
    <row r="65" spans="1:43" x14ac:dyDescent="0.25">
      <c r="A65" s="9">
        <f t="shared" si="0"/>
        <v>62</v>
      </c>
      <c r="B65" s="103" t="s">
        <v>547</v>
      </c>
      <c r="C65" s="21" t="s">
        <v>524</v>
      </c>
      <c r="D65" s="11">
        <v>895000</v>
      </c>
      <c r="E65" s="11">
        <v>0</v>
      </c>
      <c r="F65" s="11">
        <v>262000</v>
      </c>
      <c r="G65" s="11">
        <v>241000</v>
      </c>
      <c r="H65" s="11">
        <v>221000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M65" s="1"/>
      <c r="AN65" s="1"/>
      <c r="AO65" s="1"/>
      <c r="AP65" s="1"/>
      <c r="AQ65" s="1"/>
    </row>
    <row r="66" spans="1:43" x14ac:dyDescent="0.25">
      <c r="A66" s="9">
        <f t="shared" si="0"/>
        <v>63</v>
      </c>
      <c r="B66" s="103" t="s">
        <v>446</v>
      </c>
      <c r="C66" s="46" t="s">
        <v>434</v>
      </c>
      <c r="D66" s="47">
        <v>0</v>
      </c>
      <c r="E66" s="47">
        <v>0</v>
      </c>
      <c r="F66" s="47">
        <v>332000</v>
      </c>
      <c r="G66" s="47">
        <v>302000</v>
      </c>
      <c r="H66" s="47">
        <v>291000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M66" s="1"/>
      <c r="AN66" s="1"/>
      <c r="AO66" s="1"/>
      <c r="AP66" s="1"/>
      <c r="AQ66" s="1"/>
    </row>
    <row r="67" spans="1:43" x14ac:dyDescent="0.25">
      <c r="A67" s="9">
        <f t="shared" si="0"/>
        <v>64</v>
      </c>
      <c r="B67" s="103" t="s">
        <v>163</v>
      </c>
      <c r="C67" s="21" t="s">
        <v>446</v>
      </c>
      <c r="D67" s="11">
        <v>0</v>
      </c>
      <c r="E67" s="11">
        <v>0</v>
      </c>
      <c r="F67" s="11">
        <v>382000</v>
      </c>
      <c r="G67" s="11">
        <v>362000</v>
      </c>
      <c r="H67" s="11">
        <v>321000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M67" s="1"/>
      <c r="AN67" s="1"/>
      <c r="AO67" s="1"/>
      <c r="AP67" s="1"/>
      <c r="AQ67" s="1"/>
    </row>
    <row r="68" spans="1:43" x14ac:dyDescent="0.25">
      <c r="A68" s="9">
        <f t="shared" si="0"/>
        <v>65</v>
      </c>
      <c r="B68" s="103" t="s">
        <v>113</v>
      </c>
      <c r="C68" s="21" t="s">
        <v>163</v>
      </c>
      <c r="D68" s="11">
        <v>0</v>
      </c>
      <c r="E68" s="11">
        <v>0</v>
      </c>
      <c r="F68" s="11">
        <v>432000</v>
      </c>
      <c r="G68" s="11">
        <v>422000</v>
      </c>
      <c r="H68" s="11">
        <v>352000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M68" s="1"/>
      <c r="AN68" s="1"/>
      <c r="AO68" s="1"/>
      <c r="AP68" s="1"/>
      <c r="AQ68" s="1"/>
    </row>
    <row r="69" spans="1:43" x14ac:dyDescent="0.25">
      <c r="A69" s="9">
        <f t="shared" ref="A69" si="1">A68+1</f>
        <v>66</v>
      </c>
      <c r="B69" s="103" t="e">
        <v>#N/A</v>
      </c>
      <c r="C69" s="16" t="s">
        <v>113</v>
      </c>
      <c r="D69" s="14">
        <v>0</v>
      </c>
      <c r="E69" s="14">
        <v>0</v>
      </c>
      <c r="F69" s="14">
        <v>352000</v>
      </c>
      <c r="G69" s="14">
        <v>321000</v>
      </c>
      <c r="H69" s="14">
        <v>282000</v>
      </c>
      <c r="I69" s="1"/>
      <c r="J69" s="1"/>
      <c r="K69" s="1"/>
      <c r="L69" s="1"/>
      <c r="M69" s="1"/>
      <c r="N69" s="1"/>
      <c r="O69" s="1"/>
      <c r="P69"/>
      <c r="Q69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M69" s="1"/>
      <c r="AN69" s="1"/>
      <c r="AO69" s="1"/>
      <c r="AP69" s="1"/>
      <c r="AQ69" s="1"/>
    </row>
    <row r="70" spans="1:43" x14ac:dyDescent="0.25">
      <c r="P70"/>
      <c r="Q70"/>
    </row>
    <row r="71" spans="1:43" x14ac:dyDescent="0.25">
      <c r="P71"/>
      <c r="Q71"/>
    </row>
    <row r="72" spans="1:43" x14ac:dyDescent="0.25">
      <c r="A72" s="84"/>
      <c r="B72" s="98"/>
      <c r="C72" s="86" t="s">
        <v>481</v>
      </c>
      <c r="D72" s="85"/>
      <c r="E72" s="85"/>
      <c r="O72" s="1"/>
      <c r="P72"/>
      <c r="Q72"/>
      <c r="R72" s="1"/>
      <c r="S72" s="1"/>
      <c r="Y72" s="1"/>
      <c r="Z72" s="1"/>
      <c r="AA72" s="1"/>
      <c r="AB72" s="1"/>
      <c r="AC72" s="1"/>
      <c r="AD72" s="1"/>
      <c r="AE72" s="1"/>
      <c r="AF72" s="1"/>
      <c r="AG72" s="1"/>
      <c r="AM72" s="1"/>
      <c r="AN72" s="1"/>
      <c r="AO72" s="1"/>
      <c r="AP72" s="1"/>
      <c r="AQ72" s="1"/>
    </row>
    <row r="73" spans="1:43" ht="16.5" thickBot="1" x14ac:dyDescent="0.3">
      <c r="A73" s="84"/>
      <c r="B73" s="98"/>
      <c r="C73" s="86"/>
      <c r="D73" s="85"/>
      <c r="E73" s="85"/>
      <c r="O73" s="1"/>
      <c r="P73"/>
      <c r="Q73"/>
      <c r="R73" s="1"/>
      <c r="S73" s="1"/>
      <c r="Y73" s="1"/>
      <c r="Z73" s="1"/>
      <c r="AA73" s="1"/>
      <c r="AB73" s="1"/>
      <c r="AC73" s="1"/>
      <c r="AD73" s="1"/>
      <c r="AE73" s="1"/>
      <c r="AF73" s="1"/>
      <c r="AG73" s="1"/>
      <c r="AM73" s="1"/>
      <c r="AN73" s="1"/>
      <c r="AO73" s="1"/>
      <c r="AP73" s="1"/>
      <c r="AQ73" s="1"/>
    </row>
    <row r="74" spans="1:43" ht="17.25" thickTop="1" thickBot="1" x14ac:dyDescent="0.3">
      <c r="A74" s="1"/>
      <c r="B74" s="95"/>
      <c r="C74" s="1">
        <f>100-3.8</f>
        <v>96.2</v>
      </c>
      <c r="D74" s="40">
        <v>46023</v>
      </c>
      <c r="N74" s="1"/>
      <c r="O74" s="1"/>
      <c r="P74"/>
      <c r="Q74"/>
      <c r="R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M74" s="1"/>
      <c r="AN74" s="1"/>
      <c r="AO74" s="1"/>
      <c r="AP74" s="1"/>
      <c r="AQ74" s="1"/>
    </row>
    <row r="75" spans="1:43" ht="16.5" thickTop="1" x14ac:dyDescent="0.25">
      <c r="A75" s="115" t="s">
        <v>0</v>
      </c>
      <c r="B75" s="96"/>
      <c r="C75" s="115" t="s">
        <v>110</v>
      </c>
      <c r="D75" s="17" t="s">
        <v>165</v>
      </c>
      <c r="N75" s="1"/>
      <c r="O75" s="1"/>
      <c r="P75"/>
      <c r="Q75"/>
      <c r="R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M75" s="1"/>
      <c r="AN75" s="1"/>
      <c r="AO75" s="1"/>
      <c r="AP75" s="1"/>
      <c r="AQ75" s="1"/>
    </row>
    <row r="76" spans="1:43" x14ac:dyDescent="0.25">
      <c r="A76" s="115"/>
      <c r="B76" s="96"/>
      <c r="C76" s="115"/>
      <c r="D76" s="5" t="s">
        <v>6</v>
      </c>
      <c r="N76" s="1"/>
      <c r="O76" s="1"/>
      <c r="P76" s="1"/>
      <c r="Q76" s="1"/>
      <c r="R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M76" s="1"/>
      <c r="AN76" s="1"/>
      <c r="AO76" s="1"/>
      <c r="AP76" s="1"/>
      <c r="AQ76" s="1"/>
    </row>
    <row r="77" spans="1:43" x14ac:dyDescent="0.25">
      <c r="A77" s="6">
        <v>1</v>
      </c>
      <c r="B77" s="103" t="s">
        <v>435</v>
      </c>
      <c r="C77" s="15" t="s">
        <v>435</v>
      </c>
      <c r="D77" s="8">
        <v>522000</v>
      </c>
      <c r="N77" s="1"/>
      <c r="O77" s="1"/>
      <c r="P77" s="1"/>
      <c r="Q77" s="1"/>
      <c r="R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M77" s="1"/>
      <c r="AN77" s="1"/>
      <c r="AO77" s="1"/>
      <c r="AP77" s="1"/>
      <c r="AQ77" s="1"/>
    </row>
    <row r="78" spans="1:43" x14ac:dyDescent="0.25">
      <c r="A78" s="9">
        <f t="shared" ref="A78:A121" si="2">A77+1</f>
        <v>2</v>
      </c>
      <c r="B78" s="103" t="s">
        <v>154</v>
      </c>
      <c r="C78" s="21" t="s">
        <v>154</v>
      </c>
      <c r="D78" s="11">
        <v>684000</v>
      </c>
      <c r="N78" s="1"/>
      <c r="O78" s="1"/>
      <c r="P78" s="1"/>
      <c r="Q78" s="1"/>
      <c r="R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M78" s="1"/>
      <c r="AN78" s="1"/>
      <c r="AO78" s="1"/>
      <c r="AP78" s="1"/>
      <c r="AQ78" s="1"/>
    </row>
    <row r="79" spans="1:43" x14ac:dyDescent="0.25">
      <c r="A79" s="9">
        <f t="shared" si="2"/>
        <v>3</v>
      </c>
      <c r="B79" s="103" t="s">
        <v>38</v>
      </c>
      <c r="C79" s="21" t="s">
        <v>38</v>
      </c>
      <c r="D79" s="11">
        <v>583000</v>
      </c>
      <c r="N79" s="1"/>
      <c r="O79" s="1"/>
      <c r="P79" s="1"/>
      <c r="Q79" s="1"/>
      <c r="R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M79" s="1"/>
      <c r="AN79" s="1"/>
      <c r="AO79" s="1"/>
      <c r="AP79" s="1"/>
      <c r="AQ79" s="1"/>
    </row>
    <row r="80" spans="1:43" x14ac:dyDescent="0.25">
      <c r="A80" s="9">
        <f t="shared" si="2"/>
        <v>4</v>
      </c>
      <c r="B80" s="103" t="s">
        <v>132</v>
      </c>
      <c r="C80" s="21" t="s">
        <v>132</v>
      </c>
      <c r="D80" s="11">
        <v>623000</v>
      </c>
      <c r="N80" s="1"/>
      <c r="O80" s="1"/>
      <c r="P80" s="1"/>
      <c r="Q80" s="1"/>
      <c r="R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M80" s="1"/>
      <c r="AN80" s="1"/>
      <c r="AO80" s="1"/>
      <c r="AP80" s="1"/>
      <c r="AQ80" s="1"/>
    </row>
    <row r="81" spans="1:43" x14ac:dyDescent="0.25">
      <c r="A81" s="9">
        <f t="shared" si="2"/>
        <v>5</v>
      </c>
      <c r="B81" s="103" t="s">
        <v>436</v>
      </c>
      <c r="C81" s="21" t="s">
        <v>436</v>
      </c>
      <c r="D81" s="11">
        <v>723000</v>
      </c>
      <c r="N81" s="1"/>
      <c r="O81" s="1"/>
      <c r="P81" s="1"/>
      <c r="Q81" s="1"/>
      <c r="R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M81" s="1"/>
      <c r="AN81" s="1"/>
      <c r="AO81" s="1"/>
      <c r="AP81" s="1"/>
      <c r="AQ81" s="1"/>
    </row>
    <row r="82" spans="1:43" x14ac:dyDescent="0.25">
      <c r="A82" s="9">
        <f t="shared" si="2"/>
        <v>6</v>
      </c>
      <c r="B82" s="103" t="s">
        <v>112</v>
      </c>
      <c r="C82" s="21" t="s">
        <v>112</v>
      </c>
      <c r="D82" s="11">
        <v>653000</v>
      </c>
      <c r="N82" s="1"/>
      <c r="O82" s="1"/>
      <c r="P82" s="1"/>
      <c r="Q82" s="1"/>
      <c r="R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M82" s="1"/>
      <c r="AN82" s="1"/>
      <c r="AO82" s="1"/>
      <c r="AP82" s="1"/>
      <c r="AQ82" s="1"/>
    </row>
    <row r="83" spans="1:43" x14ac:dyDescent="0.25">
      <c r="A83" s="9">
        <f t="shared" si="2"/>
        <v>7</v>
      </c>
      <c r="B83" s="103" t="s">
        <v>39</v>
      </c>
      <c r="C83" s="21" t="s">
        <v>39</v>
      </c>
      <c r="D83" s="11">
        <v>754000</v>
      </c>
      <c r="N83" s="1"/>
      <c r="O83" s="1"/>
      <c r="P83" s="1"/>
      <c r="Q83" s="1"/>
      <c r="R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M83" s="1"/>
      <c r="AN83" s="1"/>
      <c r="AO83" s="1"/>
      <c r="AP83" s="1"/>
      <c r="AQ83" s="1"/>
    </row>
    <row r="84" spans="1:43" x14ac:dyDescent="0.25">
      <c r="A84" s="9">
        <f t="shared" si="2"/>
        <v>8</v>
      </c>
      <c r="B84" s="103" t="s">
        <v>437</v>
      </c>
      <c r="C84" s="21" t="s">
        <v>437</v>
      </c>
      <c r="D84" s="11">
        <v>483000</v>
      </c>
      <c r="N84" s="1"/>
      <c r="O84" s="1"/>
      <c r="P84" s="1"/>
      <c r="Q84" s="1"/>
      <c r="R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M84" s="1"/>
      <c r="AN84" s="1"/>
      <c r="AO84" s="1"/>
      <c r="AP84" s="1"/>
      <c r="AQ84" s="1"/>
    </row>
    <row r="85" spans="1:43" x14ac:dyDescent="0.25">
      <c r="A85" s="9">
        <f t="shared" si="2"/>
        <v>9</v>
      </c>
      <c r="B85" s="103" t="s">
        <v>118</v>
      </c>
      <c r="C85" s="21" t="s">
        <v>118</v>
      </c>
      <c r="D85" s="11">
        <v>553000</v>
      </c>
      <c r="N85" s="1"/>
      <c r="O85" s="1"/>
      <c r="P85" s="1"/>
      <c r="Q85" s="1"/>
      <c r="R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M85" s="1"/>
      <c r="AN85" s="1"/>
      <c r="AO85" s="1"/>
      <c r="AP85" s="1"/>
      <c r="AQ85" s="1"/>
    </row>
    <row r="86" spans="1:43" x14ac:dyDescent="0.25">
      <c r="A86" s="9">
        <f t="shared" si="2"/>
        <v>10</v>
      </c>
      <c r="B86" s="103" t="s">
        <v>143</v>
      </c>
      <c r="C86" s="21" t="s">
        <v>143</v>
      </c>
      <c r="D86" s="11">
        <v>543000</v>
      </c>
      <c r="N86" s="1"/>
      <c r="O86" s="1"/>
      <c r="P86" s="1"/>
      <c r="Q86" s="1"/>
      <c r="R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M86" s="1"/>
      <c r="AN86" s="1"/>
      <c r="AO86" s="1"/>
      <c r="AP86" s="1"/>
      <c r="AQ86" s="1"/>
    </row>
    <row r="87" spans="1:43" ht="31.5" x14ac:dyDescent="0.25">
      <c r="A87" s="9">
        <f t="shared" si="2"/>
        <v>11</v>
      </c>
      <c r="B87" s="103" t="s">
        <v>119</v>
      </c>
      <c r="C87" s="21" t="s">
        <v>129</v>
      </c>
      <c r="D87" s="11">
        <v>493000</v>
      </c>
      <c r="N87" s="1"/>
      <c r="O87" s="1"/>
      <c r="P87" s="1"/>
      <c r="Q87" s="1"/>
      <c r="R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M87" s="1"/>
      <c r="AN87" s="1"/>
      <c r="AO87" s="1"/>
      <c r="AP87" s="1"/>
      <c r="AQ87" s="1"/>
    </row>
    <row r="88" spans="1:43" x14ac:dyDescent="0.25">
      <c r="A88" s="9">
        <f t="shared" si="2"/>
        <v>12</v>
      </c>
      <c r="B88" s="103" t="s">
        <v>129</v>
      </c>
      <c r="C88" s="21" t="s">
        <v>119</v>
      </c>
      <c r="D88" s="11">
        <v>553000</v>
      </c>
      <c r="N88" s="1"/>
      <c r="O88" s="1"/>
      <c r="P88" s="1"/>
      <c r="Q88" s="1"/>
      <c r="R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M88" s="1"/>
      <c r="AN88" s="1"/>
      <c r="AO88" s="1"/>
      <c r="AP88" s="1"/>
      <c r="AQ88" s="1"/>
    </row>
    <row r="89" spans="1:43" ht="31.5" x14ac:dyDescent="0.25">
      <c r="A89" s="9">
        <f t="shared" si="2"/>
        <v>13</v>
      </c>
      <c r="B89" s="103" t="s">
        <v>153</v>
      </c>
      <c r="C89" s="21" t="s">
        <v>153</v>
      </c>
      <c r="D89" s="11">
        <v>412000</v>
      </c>
      <c r="N89" s="1"/>
      <c r="O89" s="1"/>
      <c r="P89" s="1"/>
      <c r="Q89" s="1"/>
      <c r="R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M89" s="1"/>
      <c r="AN89" s="1"/>
      <c r="AO89" s="1"/>
      <c r="AP89" s="1"/>
      <c r="AQ89" s="1"/>
    </row>
    <row r="90" spans="1:43" x14ac:dyDescent="0.25">
      <c r="A90" s="9">
        <f t="shared" si="2"/>
        <v>14</v>
      </c>
      <c r="B90" s="103" t="s">
        <v>114</v>
      </c>
      <c r="C90" s="21" t="s">
        <v>155</v>
      </c>
      <c r="D90" s="11">
        <v>483000</v>
      </c>
      <c r="N90" s="1"/>
      <c r="O90" s="1"/>
      <c r="P90" s="1"/>
      <c r="Q90" s="1"/>
      <c r="R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M90" s="1"/>
      <c r="AN90" s="1"/>
      <c r="AO90" s="1"/>
      <c r="AP90" s="1"/>
      <c r="AQ90" s="1"/>
    </row>
    <row r="91" spans="1:43" ht="47.25" x14ac:dyDescent="0.25">
      <c r="A91" s="9">
        <f t="shared" si="2"/>
        <v>15</v>
      </c>
      <c r="B91" s="103" t="s">
        <v>155</v>
      </c>
      <c r="C91" s="21" t="s">
        <v>152</v>
      </c>
      <c r="D91" s="11">
        <v>302000</v>
      </c>
      <c r="N91" s="1"/>
      <c r="O91" s="1"/>
      <c r="P91" s="1"/>
      <c r="Q91" s="1"/>
      <c r="R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M91" s="1"/>
      <c r="AN91" s="1"/>
      <c r="AO91" s="1"/>
      <c r="AP91" s="1"/>
      <c r="AQ91" s="1"/>
    </row>
    <row r="92" spans="1:43" ht="31.5" x14ac:dyDescent="0.25">
      <c r="A92" s="9">
        <f t="shared" si="2"/>
        <v>16</v>
      </c>
      <c r="B92" s="103" t="s">
        <v>152</v>
      </c>
      <c r="C92" s="21" t="s">
        <v>114</v>
      </c>
      <c r="D92" s="11">
        <v>553000</v>
      </c>
      <c r="N92" s="1"/>
      <c r="O92" s="1"/>
      <c r="P92" s="1"/>
      <c r="Q92" s="1"/>
      <c r="R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M92" s="1"/>
      <c r="AN92" s="1"/>
      <c r="AO92" s="1"/>
      <c r="AP92" s="1"/>
      <c r="AQ92" s="1"/>
    </row>
    <row r="93" spans="1:43" x14ac:dyDescent="0.25">
      <c r="A93" s="9">
        <f t="shared" si="2"/>
        <v>17</v>
      </c>
      <c r="B93" s="103" t="s">
        <v>125</v>
      </c>
      <c r="C93" s="21" t="s">
        <v>125</v>
      </c>
      <c r="D93" s="11">
        <v>503000</v>
      </c>
      <c r="N93" s="1"/>
      <c r="O93" s="1"/>
      <c r="P93" s="1"/>
      <c r="Q93" s="1"/>
      <c r="R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M93" s="1"/>
      <c r="AN93" s="1"/>
      <c r="AO93" s="1"/>
      <c r="AP93" s="1"/>
      <c r="AQ93" s="1"/>
    </row>
    <row r="94" spans="1:43" x14ac:dyDescent="0.25">
      <c r="A94" s="9">
        <f t="shared" si="2"/>
        <v>18</v>
      </c>
      <c r="B94" s="103" t="e">
        <v>#N/A</v>
      </c>
      <c r="C94" s="21" t="s">
        <v>144</v>
      </c>
      <c r="D94" s="11">
        <v>472000</v>
      </c>
      <c r="N94" s="1"/>
      <c r="O94" s="1"/>
      <c r="P94" s="1"/>
      <c r="Q94" s="1"/>
      <c r="R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M94" s="1"/>
      <c r="AN94" s="1"/>
      <c r="AO94" s="1"/>
      <c r="AP94" s="1"/>
      <c r="AQ94" s="1"/>
    </row>
    <row r="95" spans="1:43" x14ac:dyDescent="0.25">
      <c r="A95" s="9">
        <f t="shared" si="2"/>
        <v>19</v>
      </c>
      <c r="B95" s="103" t="s">
        <v>144</v>
      </c>
      <c r="C95" s="21" t="s">
        <v>124</v>
      </c>
      <c r="D95" s="11">
        <v>472000</v>
      </c>
      <c r="N95" s="1"/>
      <c r="O95" s="1"/>
      <c r="P95" s="1"/>
      <c r="Q95" s="1"/>
      <c r="R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M95" s="1"/>
      <c r="AN95" s="1"/>
      <c r="AO95" s="1"/>
      <c r="AP95" s="1"/>
      <c r="AQ95" s="1"/>
    </row>
    <row r="96" spans="1:43" ht="31.5" x14ac:dyDescent="0.25">
      <c r="A96" s="9">
        <f t="shared" si="2"/>
        <v>20</v>
      </c>
      <c r="B96" s="103" t="s">
        <v>124</v>
      </c>
      <c r="C96" s="21" t="s">
        <v>145</v>
      </c>
      <c r="D96" s="11">
        <v>463000</v>
      </c>
      <c r="N96" s="1"/>
      <c r="O96" s="1"/>
      <c r="P96" s="1"/>
      <c r="Q96" s="1"/>
      <c r="R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M96" s="1"/>
      <c r="AN96" s="1"/>
      <c r="AO96" s="1"/>
      <c r="AP96" s="1"/>
      <c r="AQ96" s="1"/>
    </row>
    <row r="97" spans="1:43" x14ac:dyDescent="0.25">
      <c r="A97" s="9">
        <f t="shared" si="2"/>
        <v>21</v>
      </c>
      <c r="B97" s="103" t="s">
        <v>145</v>
      </c>
      <c r="C97" s="21" t="s">
        <v>126</v>
      </c>
      <c r="D97" s="11">
        <v>412000</v>
      </c>
      <c r="N97" s="1"/>
      <c r="O97" s="1"/>
      <c r="P97" s="1"/>
      <c r="Q97" s="1"/>
      <c r="R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M97" s="1"/>
      <c r="AN97" s="1"/>
      <c r="AO97" s="1"/>
      <c r="AP97" s="1"/>
      <c r="AQ97" s="1"/>
    </row>
    <row r="98" spans="1:43" ht="47.25" x14ac:dyDescent="0.25">
      <c r="A98" s="9">
        <f t="shared" si="2"/>
        <v>22</v>
      </c>
      <c r="B98" s="103" t="s">
        <v>126</v>
      </c>
      <c r="C98" s="21" t="s">
        <v>149</v>
      </c>
      <c r="D98" s="11">
        <v>352000</v>
      </c>
      <c r="N98" s="1"/>
      <c r="O98" s="1"/>
      <c r="P98" s="1"/>
      <c r="Q98" s="1"/>
      <c r="R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M98" s="1"/>
      <c r="AN98" s="1"/>
      <c r="AO98" s="1"/>
      <c r="AP98" s="1"/>
      <c r="AQ98" s="1"/>
    </row>
    <row r="99" spans="1:43" ht="31.5" x14ac:dyDescent="0.25">
      <c r="A99" s="9">
        <f t="shared" si="2"/>
        <v>23</v>
      </c>
      <c r="B99" s="103" t="s">
        <v>149</v>
      </c>
      <c r="C99" s="21" t="s">
        <v>111</v>
      </c>
      <c r="D99" s="11">
        <v>392000</v>
      </c>
      <c r="N99" s="1"/>
      <c r="O99" s="1"/>
      <c r="P99" s="1"/>
      <c r="Q99" s="1"/>
      <c r="R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M99" s="1"/>
      <c r="AN99" s="1"/>
      <c r="AO99" s="1"/>
      <c r="AP99" s="1"/>
      <c r="AQ99" s="1"/>
    </row>
    <row r="100" spans="1:43" x14ac:dyDescent="0.25">
      <c r="A100" s="9">
        <f t="shared" si="2"/>
        <v>24</v>
      </c>
      <c r="B100" s="103" t="s">
        <v>111</v>
      </c>
      <c r="C100" s="21" t="s">
        <v>151</v>
      </c>
      <c r="D100" s="11">
        <v>412000</v>
      </c>
      <c r="N100" s="1"/>
      <c r="O100" s="1"/>
      <c r="P100" s="1"/>
      <c r="Q100" s="1"/>
      <c r="R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M100" s="1"/>
      <c r="AN100" s="1"/>
      <c r="AO100" s="1"/>
      <c r="AP100" s="1"/>
      <c r="AQ100" s="1"/>
    </row>
    <row r="101" spans="1:43" ht="47.25" x14ac:dyDescent="0.25">
      <c r="A101" s="9">
        <f t="shared" si="2"/>
        <v>25</v>
      </c>
      <c r="B101" s="103" t="s">
        <v>151</v>
      </c>
      <c r="C101" s="21" t="s">
        <v>150</v>
      </c>
      <c r="D101" s="11">
        <v>392000</v>
      </c>
      <c r="N101" s="1"/>
      <c r="O101" s="1"/>
      <c r="P101" s="1"/>
      <c r="Q101" s="1"/>
      <c r="R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M101" s="1"/>
      <c r="AN101" s="1"/>
      <c r="AO101" s="1"/>
      <c r="AP101" s="1"/>
      <c r="AQ101" s="1"/>
    </row>
    <row r="102" spans="1:43" x14ac:dyDescent="0.25">
      <c r="A102" s="9">
        <f t="shared" si="2"/>
        <v>26</v>
      </c>
      <c r="B102" s="103" t="s">
        <v>150</v>
      </c>
      <c r="C102" s="42" t="s">
        <v>429</v>
      </c>
      <c r="D102" s="41">
        <v>392000</v>
      </c>
      <c r="F102" s="45" t="s">
        <v>433</v>
      </c>
      <c r="N102" s="1"/>
      <c r="O102" s="1"/>
      <c r="P102" s="1"/>
      <c r="Q102" s="1"/>
      <c r="R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M102" s="1"/>
      <c r="AN102" s="1"/>
      <c r="AO102" s="1"/>
      <c r="AP102" s="1"/>
      <c r="AQ102" s="1"/>
    </row>
    <row r="103" spans="1:43" ht="31.5" x14ac:dyDescent="0.25">
      <c r="A103" s="9">
        <f t="shared" si="2"/>
        <v>27</v>
      </c>
      <c r="B103" s="103" t="s">
        <v>147</v>
      </c>
      <c r="C103" s="21" t="s">
        <v>147</v>
      </c>
      <c r="D103" s="11">
        <v>302000</v>
      </c>
      <c r="N103" s="1"/>
      <c r="O103" s="1"/>
      <c r="P103" s="1"/>
      <c r="Q103" s="1"/>
      <c r="R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M103" s="1"/>
      <c r="AN103" s="1"/>
      <c r="AO103" s="1"/>
      <c r="AP103" s="1"/>
      <c r="AQ103" s="1"/>
    </row>
    <row r="104" spans="1:43" x14ac:dyDescent="0.25">
      <c r="A104" s="9">
        <f t="shared" si="2"/>
        <v>28</v>
      </c>
      <c r="B104" s="103" t="s">
        <v>146</v>
      </c>
      <c r="C104" s="21" t="s">
        <v>148</v>
      </c>
      <c r="D104" s="11">
        <v>412000</v>
      </c>
      <c r="N104" s="1"/>
      <c r="O104" s="1"/>
      <c r="P104" s="1"/>
      <c r="Q104" s="1"/>
      <c r="R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M104" s="1"/>
      <c r="AN104" s="1"/>
      <c r="AO104" s="1"/>
      <c r="AP104" s="1"/>
      <c r="AQ104" s="1"/>
    </row>
    <row r="105" spans="1:43" x14ac:dyDescent="0.25">
      <c r="A105" s="9">
        <f t="shared" si="2"/>
        <v>29</v>
      </c>
      <c r="B105" s="103" t="s">
        <v>148</v>
      </c>
      <c r="C105" s="21" t="s">
        <v>246</v>
      </c>
      <c r="D105" s="11">
        <v>342000</v>
      </c>
      <c r="N105" s="1"/>
      <c r="O105" s="1"/>
      <c r="P105" s="1"/>
      <c r="Q105" s="1"/>
      <c r="R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M105" s="1"/>
      <c r="AN105" s="1"/>
      <c r="AO105" s="1"/>
      <c r="AP105" s="1"/>
      <c r="AQ105" s="1"/>
    </row>
    <row r="106" spans="1:43" x14ac:dyDescent="0.25">
      <c r="A106" s="9">
        <f t="shared" si="2"/>
        <v>30</v>
      </c>
      <c r="B106" s="103" t="s">
        <v>441</v>
      </c>
      <c r="C106" s="21" t="s">
        <v>447</v>
      </c>
      <c r="D106" s="11">
        <v>854000</v>
      </c>
      <c r="N106" s="1"/>
      <c r="O106" s="1"/>
      <c r="P106" s="1"/>
      <c r="Q106" s="1"/>
      <c r="R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M106" s="1"/>
      <c r="AN106" s="1"/>
      <c r="AO106" s="1"/>
      <c r="AP106" s="1"/>
      <c r="AQ106" s="1"/>
    </row>
    <row r="107" spans="1:43" x14ac:dyDescent="0.25">
      <c r="A107" s="9">
        <f t="shared" si="2"/>
        <v>31</v>
      </c>
      <c r="B107" s="103" t="s">
        <v>140</v>
      </c>
      <c r="C107" s="21" t="s">
        <v>140</v>
      </c>
      <c r="D107" s="11">
        <v>845000</v>
      </c>
      <c r="N107" s="1"/>
      <c r="O107" s="1"/>
      <c r="P107" s="1"/>
      <c r="Q107" s="1"/>
      <c r="R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M107" s="1"/>
      <c r="AN107" s="1"/>
      <c r="AO107" s="1"/>
      <c r="AP107" s="1"/>
      <c r="AQ107" s="1"/>
    </row>
    <row r="108" spans="1:43" x14ac:dyDescent="0.25">
      <c r="A108" s="9">
        <f t="shared" si="2"/>
        <v>32</v>
      </c>
      <c r="B108" s="103" t="s">
        <v>135</v>
      </c>
      <c r="C108" s="21" t="s">
        <v>135</v>
      </c>
      <c r="D108" s="11">
        <v>603000</v>
      </c>
      <c r="N108" s="1"/>
      <c r="O108" s="1"/>
      <c r="P108" s="1"/>
      <c r="Q108" s="1"/>
      <c r="R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M108" s="1"/>
      <c r="AN108" s="1"/>
      <c r="AO108" s="1"/>
      <c r="AP108" s="1"/>
      <c r="AQ108" s="1"/>
    </row>
    <row r="109" spans="1:43" x14ac:dyDescent="0.25">
      <c r="A109" s="9">
        <f t="shared" si="2"/>
        <v>33</v>
      </c>
      <c r="B109" s="103" t="s">
        <v>137</v>
      </c>
      <c r="C109" s="21" t="s">
        <v>137</v>
      </c>
      <c r="D109" s="11">
        <v>704000</v>
      </c>
      <c r="N109" s="1"/>
      <c r="O109" s="1"/>
      <c r="P109" s="1"/>
      <c r="Q109" s="1"/>
      <c r="R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M109" s="1"/>
      <c r="AN109" s="1"/>
      <c r="AO109" s="1"/>
      <c r="AP109" s="1"/>
      <c r="AQ109" s="1"/>
    </row>
    <row r="110" spans="1:43" ht="31.5" x14ac:dyDescent="0.25">
      <c r="A110" s="9">
        <f t="shared" si="2"/>
        <v>34</v>
      </c>
      <c r="B110" s="103" t="s">
        <v>116</v>
      </c>
      <c r="C110" s="21" t="s">
        <v>116</v>
      </c>
      <c r="D110" s="11">
        <v>553000</v>
      </c>
      <c r="N110" s="1"/>
      <c r="O110" s="1"/>
      <c r="P110" s="1"/>
      <c r="Q110" s="1"/>
      <c r="R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M110" s="1"/>
      <c r="AN110" s="1"/>
      <c r="AO110" s="1"/>
      <c r="AP110" s="1"/>
      <c r="AQ110" s="1"/>
    </row>
    <row r="111" spans="1:43" ht="31.5" x14ac:dyDescent="0.25">
      <c r="A111" s="9">
        <f t="shared" si="2"/>
        <v>35</v>
      </c>
      <c r="B111" s="103" t="s">
        <v>115</v>
      </c>
      <c r="C111" s="21" t="s">
        <v>136</v>
      </c>
      <c r="D111" s="11">
        <v>744000</v>
      </c>
      <c r="N111" s="1"/>
      <c r="O111" s="1"/>
      <c r="P111" s="1"/>
      <c r="Q111" s="1"/>
      <c r="R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M111" s="1"/>
      <c r="AN111" s="1"/>
      <c r="AO111" s="1"/>
      <c r="AP111" s="1"/>
      <c r="AQ111" s="1"/>
    </row>
    <row r="112" spans="1:43" x14ac:dyDescent="0.25">
      <c r="A112" s="9">
        <f t="shared" si="2"/>
        <v>36</v>
      </c>
      <c r="B112" s="103" t="s">
        <v>136</v>
      </c>
      <c r="C112" s="21" t="s">
        <v>117</v>
      </c>
      <c r="D112" s="11">
        <v>684000</v>
      </c>
      <c r="N112" s="1"/>
      <c r="O112" s="1"/>
      <c r="P112" s="1"/>
      <c r="Q112" s="1"/>
      <c r="R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M112" s="1"/>
      <c r="AN112" s="1"/>
      <c r="AO112" s="1"/>
      <c r="AP112" s="1"/>
      <c r="AQ112" s="1"/>
    </row>
    <row r="113" spans="1:43" x14ac:dyDescent="0.25">
      <c r="A113" s="9">
        <f t="shared" si="2"/>
        <v>37</v>
      </c>
      <c r="B113" s="103" t="s">
        <v>117</v>
      </c>
      <c r="C113" s="21" t="s">
        <v>115</v>
      </c>
      <c r="D113" s="11">
        <v>522000</v>
      </c>
      <c r="N113" s="1"/>
      <c r="O113" s="1"/>
      <c r="P113" s="1"/>
      <c r="Q113" s="1"/>
      <c r="R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M113" s="1"/>
      <c r="AN113" s="1"/>
      <c r="AO113" s="1"/>
      <c r="AP113" s="1"/>
      <c r="AQ113" s="1"/>
    </row>
    <row r="114" spans="1:43" x14ac:dyDescent="0.25">
      <c r="A114" s="9">
        <f t="shared" si="2"/>
        <v>38</v>
      </c>
      <c r="B114" s="103" t="s">
        <v>444</v>
      </c>
      <c r="C114" s="21" t="s">
        <v>448</v>
      </c>
      <c r="D114" s="11">
        <v>472000</v>
      </c>
      <c r="N114" s="1"/>
      <c r="O114" s="1"/>
      <c r="P114" s="1"/>
      <c r="Q114" s="1"/>
      <c r="R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M114" s="1"/>
      <c r="AN114" s="1"/>
      <c r="AO114" s="1"/>
      <c r="AP114" s="1"/>
      <c r="AQ114" s="1"/>
    </row>
    <row r="115" spans="1:43" ht="31.5" x14ac:dyDescent="0.25">
      <c r="A115" s="9">
        <f t="shared" si="2"/>
        <v>39</v>
      </c>
      <c r="B115" s="103" t="s">
        <v>158</v>
      </c>
      <c r="C115" s="21" t="s">
        <v>158</v>
      </c>
      <c r="D115" s="11">
        <v>472000</v>
      </c>
      <c r="N115" s="1"/>
      <c r="O115" s="1"/>
      <c r="P115" s="1"/>
      <c r="Q115" s="1"/>
      <c r="R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M115" s="1"/>
      <c r="AN115" s="1"/>
      <c r="AO115" s="1"/>
      <c r="AP115" s="1"/>
      <c r="AQ115" s="1"/>
    </row>
    <row r="116" spans="1:43" ht="63" x14ac:dyDescent="0.25">
      <c r="A116" s="9">
        <f t="shared" si="2"/>
        <v>40</v>
      </c>
      <c r="B116" s="103" t="s">
        <v>138</v>
      </c>
      <c r="C116" s="21" t="s">
        <v>138</v>
      </c>
      <c r="D116" s="11">
        <v>321000</v>
      </c>
      <c r="N116" s="1"/>
      <c r="O116" s="1"/>
      <c r="P116" s="1"/>
      <c r="Q116" s="1"/>
      <c r="R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M116" s="1"/>
      <c r="AN116" s="1"/>
      <c r="AO116" s="1"/>
      <c r="AP116" s="1"/>
      <c r="AQ116" s="1"/>
    </row>
    <row r="117" spans="1:43" x14ac:dyDescent="0.25">
      <c r="A117" s="9">
        <f t="shared" si="2"/>
        <v>41</v>
      </c>
      <c r="B117" s="103" t="s">
        <v>542</v>
      </c>
      <c r="C117" s="21" t="s">
        <v>449</v>
      </c>
      <c r="D117" s="11">
        <v>262000</v>
      </c>
      <c r="N117" s="1"/>
      <c r="O117" s="1"/>
      <c r="P117" s="1"/>
      <c r="Q117" s="1"/>
      <c r="R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M117" s="1"/>
      <c r="AN117" s="1"/>
      <c r="AO117" s="1"/>
      <c r="AP117" s="1"/>
      <c r="AQ117" s="1"/>
    </row>
    <row r="118" spans="1:43" x14ac:dyDescent="0.25">
      <c r="A118" s="9">
        <f t="shared" si="2"/>
        <v>42</v>
      </c>
      <c r="B118" s="103" t="s">
        <v>547</v>
      </c>
      <c r="C118" s="21" t="s">
        <v>434</v>
      </c>
      <c r="D118" s="11">
        <v>352000</v>
      </c>
      <c r="N118" s="1"/>
      <c r="O118" s="1"/>
      <c r="P118" s="1"/>
      <c r="Q118" s="1"/>
      <c r="R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M118" s="1"/>
      <c r="AN118" s="1"/>
      <c r="AO118" s="1"/>
      <c r="AP118" s="1"/>
      <c r="AQ118" s="1"/>
    </row>
    <row r="119" spans="1:43" x14ac:dyDescent="0.25">
      <c r="A119" s="9">
        <f t="shared" si="2"/>
        <v>43</v>
      </c>
      <c r="B119" s="103" t="s">
        <v>446</v>
      </c>
      <c r="C119" s="21" t="s">
        <v>450</v>
      </c>
      <c r="D119" s="11">
        <v>483000</v>
      </c>
      <c r="N119" s="1"/>
      <c r="O119" s="1"/>
      <c r="P119" s="1"/>
      <c r="Q119" s="1"/>
      <c r="R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M119" s="1"/>
      <c r="AN119" s="1"/>
      <c r="AO119" s="1"/>
      <c r="AP119" s="1"/>
      <c r="AQ119" s="1"/>
    </row>
    <row r="120" spans="1:43" x14ac:dyDescent="0.25">
      <c r="A120" s="9">
        <f t="shared" si="2"/>
        <v>44</v>
      </c>
      <c r="B120" s="103" t="s">
        <v>166</v>
      </c>
      <c r="C120" s="21" t="s">
        <v>166</v>
      </c>
      <c r="D120" s="11">
        <v>553000</v>
      </c>
      <c r="N120" s="1"/>
      <c r="O120" s="1"/>
      <c r="P120" s="1"/>
      <c r="Q120" s="1"/>
      <c r="R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M120" s="1"/>
      <c r="AN120" s="1"/>
      <c r="AO120" s="1"/>
      <c r="AP120" s="1"/>
      <c r="AQ120" s="1"/>
    </row>
    <row r="121" spans="1:43" x14ac:dyDescent="0.25">
      <c r="A121" s="9">
        <f t="shared" si="2"/>
        <v>45</v>
      </c>
      <c r="B121" s="103" t="s">
        <v>113</v>
      </c>
      <c r="C121" s="16" t="s">
        <v>113</v>
      </c>
      <c r="D121" s="14">
        <v>463000</v>
      </c>
      <c r="N121" s="1"/>
      <c r="O121" s="1"/>
      <c r="P121" s="1"/>
      <c r="Q121" s="1"/>
      <c r="R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M121" s="1"/>
      <c r="AN121" s="1"/>
      <c r="AO121" s="1"/>
      <c r="AP121" s="1"/>
      <c r="AQ121" s="1"/>
    </row>
    <row r="122" spans="1:43" x14ac:dyDescent="0.25">
      <c r="J122"/>
      <c r="L122"/>
      <c r="M122"/>
    </row>
    <row r="123" spans="1:43" x14ac:dyDescent="0.25">
      <c r="A123" s="84"/>
      <c r="B123" s="98"/>
      <c r="C123" s="86" t="s">
        <v>482</v>
      </c>
      <c r="J123"/>
      <c r="L123"/>
      <c r="M123"/>
    </row>
    <row r="124" spans="1:43" x14ac:dyDescent="0.25">
      <c r="A124" s="84"/>
      <c r="B124" s="98"/>
      <c r="C124" s="86"/>
      <c r="J124"/>
      <c r="L124"/>
      <c r="M124"/>
    </row>
    <row r="125" spans="1:43" ht="16.5" thickBot="1" x14ac:dyDescent="0.3">
      <c r="I125"/>
      <c r="K125"/>
      <c r="L125"/>
      <c r="AG125" s="1"/>
      <c r="AL125" s="4"/>
      <c r="AQ125" s="1"/>
    </row>
    <row r="126" spans="1:43" ht="17.25" thickTop="1" thickBot="1" x14ac:dyDescent="0.3">
      <c r="A126" s="1"/>
      <c r="B126" s="95"/>
      <c r="C126" s="1">
        <f>100-3.8</f>
        <v>96.2</v>
      </c>
      <c r="D126" s="40">
        <v>46023</v>
      </c>
      <c r="L126" s="1"/>
      <c r="M126" s="1"/>
      <c r="N126" s="1"/>
      <c r="O126" s="1"/>
      <c r="P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M126" s="1"/>
      <c r="AN126" s="1"/>
      <c r="AO126" s="1"/>
      <c r="AP126" s="1"/>
      <c r="AQ126" s="1"/>
    </row>
    <row r="127" spans="1:43" ht="16.5" thickTop="1" x14ac:dyDescent="0.25">
      <c r="A127" s="5" t="s">
        <v>0</v>
      </c>
      <c r="B127" s="96"/>
      <c r="C127" s="5" t="s">
        <v>1</v>
      </c>
      <c r="D127" s="17" t="s">
        <v>6</v>
      </c>
      <c r="L127" s="1"/>
      <c r="M127" s="1"/>
      <c r="N127" s="1"/>
      <c r="O127" s="1"/>
      <c r="P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M127" s="1"/>
      <c r="AN127" s="1"/>
      <c r="AO127" s="1"/>
      <c r="AP127" s="1"/>
      <c r="AQ127" s="1"/>
    </row>
    <row r="128" spans="1:43" ht="31.5" x14ac:dyDescent="0.25">
      <c r="A128" s="12">
        <v>1</v>
      </c>
      <c r="B128" s="97"/>
      <c r="C128" s="43" t="s">
        <v>431</v>
      </c>
      <c r="D128" s="44">
        <v>625000</v>
      </c>
      <c r="L128" s="1"/>
      <c r="M128" s="1"/>
      <c r="N128" s="1"/>
      <c r="O128" s="1"/>
      <c r="P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M128" s="1"/>
      <c r="AN128" s="1"/>
      <c r="AO128" s="1"/>
      <c r="AP128" s="1"/>
      <c r="AQ128" s="1"/>
    </row>
    <row r="129" spans="1:53" ht="31.5" x14ac:dyDescent="0.25">
      <c r="A129" s="12">
        <f>A128+1</f>
        <v>2</v>
      </c>
      <c r="B129" s="97"/>
      <c r="C129" s="43" t="s">
        <v>432</v>
      </c>
      <c r="D129" s="44">
        <v>529000</v>
      </c>
      <c r="L129" s="1"/>
      <c r="M129" s="1"/>
      <c r="N129" s="1"/>
      <c r="O129" s="1"/>
      <c r="P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M129" s="1"/>
      <c r="AN129" s="1"/>
      <c r="AO129" s="1"/>
      <c r="AP129" s="1"/>
      <c r="AQ129" s="1"/>
    </row>
    <row r="130" spans="1:53" ht="16.5" thickBot="1" x14ac:dyDescent="0.3">
      <c r="L130" s="1"/>
      <c r="M130" s="1"/>
      <c r="N130" s="1"/>
      <c r="O130" s="1"/>
      <c r="P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M130" s="1"/>
      <c r="AN130" s="1"/>
      <c r="AO130" s="1"/>
      <c r="AP130" s="1"/>
      <c r="AQ130" s="1"/>
    </row>
    <row r="131" spans="1:53" ht="17.25" thickTop="1" thickBot="1" x14ac:dyDescent="0.3">
      <c r="D131" s="40">
        <v>46023</v>
      </c>
      <c r="L131" s="1"/>
      <c r="M131" s="1"/>
      <c r="N131" s="1"/>
      <c r="O131" s="1"/>
      <c r="P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M131" s="1"/>
      <c r="AN131" s="1"/>
      <c r="AO131" s="1"/>
      <c r="AP131" s="1"/>
      <c r="AQ131" s="1"/>
    </row>
    <row r="132" spans="1:53" ht="16.5" thickTop="1" x14ac:dyDescent="0.25">
      <c r="A132" s="5" t="s">
        <v>0</v>
      </c>
      <c r="B132" s="96"/>
      <c r="C132" s="5" t="s">
        <v>539</v>
      </c>
      <c r="D132" s="17" t="s">
        <v>6</v>
      </c>
      <c r="L132" s="1"/>
      <c r="M132" s="1"/>
      <c r="N132" s="1"/>
      <c r="O132" s="1"/>
      <c r="P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M132" s="1"/>
      <c r="AN132" s="1"/>
      <c r="AO132" s="1"/>
      <c r="AP132" s="1"/>
      <c r="AQ132" s="1"/>
    </row>
    <row r="133" spans="1:53" x14ac:dyDescent="0.25">
      <c r="A133" s="12">
        <v>1</v>
      </c>
      <c r="B133" s="97"/>
      <c r="C133" s="43" t="s">
        <v>540</v>
      </c>
      <c r="D133" s="44">
        <v>625000</v>
      </c>
      <c r="L133" s="1"/>
      <c r="M133" s="1"/>
      <c r="N133" s="1"/>
      <c r="O133" s="1"/>
      <c r="P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M133" s="1"/>
      <c r="AN133" s="1"/>
      <c r="AO133" s="1"/>
      <c r="AP133" s="1"/>
      <c r="AQ133" s="1"/>
    </row>
    <row r="134" spans="1:53" x14ac:dyDescent="0.25">
      <c r="AG134" s="1"/>
      <c r="AL134" s="4"/>
      <c r="AQ134" s="1"/>
    </row>
    <row r="138" spans="1:53" s="4" customFormat="1" x14ac:dyDescent="0.25">
      <c r="A138" s="84"/>
      <c r="B138" s="98"/>
      <c r="C138" s="86" t="s">
        <v>495</v>
      </c>
      <c r="J138"/>
      <c r="L138"/>
      <c r="M138"/>
      <c r="AH138" s="1"/>
      <c r="AI138" s="1"/>
      <c r="AJ138" s="1"/>
      <c r="AK138" s="1"/>
      <c r="AL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s="4" customFormat="1" x14ac:dyDescent="0.25">
      <c r="A139" s="84"/>
      <c r="B139" s="98"/>
      <c r="C139" s="86"/>
      <c r="J139"/>
      <c r="L139"/>
      <c r="M139"/>
      <c r="AH139" s="1"/>
      <c r="AI139" s="1"/>
      <c r="AJ139" s="1"/>
      <c r="AK139" s="1"/>
      <c r="AL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1" spans="1:53" s="4" customFormat="1" ht="16.5" thickBot="1" x14ac:dyDescent="0.3">
      <c r="A141" s="2"/>
      <c r="B141" s="99"/>
      <c r="C141" s="3"/>
      <c r="AH141" s="1"/>
      <c r="AI141" s="1"/>
      <c r="AJ141" s="1"/>
      <c r="AK141" s="1"/>
      <c r="AL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s="4" customFormat="1" ht="17.25" thickTop="1" thickBot="1" x14ac:dyDescent="0.3">
      <c r="A142" s="1"/>
      <c r="B142" s="95"/>
      <c r="C142" s="1">
        <f>100-3.8</f>
        <v>96.2</v>
      </c>
      <c r="D142" s="124" t="s">
        <v>427</v>
      </c>
      <c r="E142" s="125"/>
      <c r="F142" s="125"/>
      <c r="G142" s="125"/>
      <c r="H142" s="126"/>
    </row>
    <row r="143" spans="1:53" s="4" customFormat="1" ht="57.75" customHeight="1" thickTop="1" x14ac:dyDescent="0.25">
      <c r="A143" s="5" t="s">
        <v>0</v>
      </c>
      <c r="B143" s="96"/>
      <c r="C143" s="5" t="s">
        <v>1</v>
      </c>
      <c r="D143" s="17" t="s">
        <v>506</v>
      </c>
      <c r="E143" s="17" t="s">
        <v>507</v>
      </c>
      <c r="F143" s="17" t="s">
        <v>508</v>
      </c>
      <c r="G143" s="17" t="s">
        <v>509</v>
      </c>
      <c r="H143" s="17" t="s">
        <v>510</v>
      </c>
    </row>
    <row r="144" spans="1:53" s="4" customFormat="1" ht="31.5" x14ac:dyDescent="0.25">
      <c r="A144" s="12">
        <v>1</v>
      </c>
      <c r="B144" s="97"/>
      <c r="C144" s="89" t="s">
        <v>496</v>
      </c>
      <c r="D144" s="8"/>
      <c r="E144" s="8">
        <v>930000</v>
      </c>
      <c r="F144" s="8"/>
      <c r="G144" s="8">
        <v>930000</v>
      </c>
      <c r="H144" s="8"/>
    </row>
    <row r="145" spans="1:43" s="4" customFormat="1" ht="31.5" x14ac:dyDescent="0.25">
      <c r="A145" s="12">
        <f>A144+1</f>
        <v>2</v>
      </c>
      <c r="B145" s="97"/>
      <c r="C145" s="89" t="s">
        <v>497</v>
      </c>
      <c r="D145" s="11"/>
      <c r="E145" s="11"/>
      <c r="F145" s="11"/>
      <c r="G145" s="11">
        <v>930000</v>
      </c>
      <c r="H145" s="11"/>
    </row>
    <row r="146" spans="1:43" s="4" customFormat="1" x14ac:dyDescent="0.25">
      <c r="A146" s="12">
        <v>2</v>
      </c>
      <c r="B146" s="97"/>
      <c r="C146" s="89" t="s">
        <v>498</v>
      </c>
      <c r="D146" s="11"/>
      <c r="E146" s="11"/>
      <c r="F146" s="11"/>
      <c r="G146" s="11">
        <v>930000</v>
      </c>
      <c r="H146" s="11"/>
    </row>
    <row r="147" spans="1:43" s="4" customFormat="1" ht="31.5" x14ac:dyDescent="0.25">
      <c r="A147" s="12">
        <f>A146+1</f>
        <v>3</v>
      </c>
      <c r="B147" s="97"/>
      <c r="C147" s="89" t="s">
        <v>499</v>
      </c>
      <c r="D147" s="11"/>
      <c r="E147" s="11">
        <v>930000</v>
      </c>
      <c r="F147" s="11"/>
      <c r="G147" s="11"/>
      <c r="H147" s="11"/>
    </row>
    <row r="148" spans="1:43" s="4" customFormat="1" ht="31.5" x14ac:dyDescent="0.25">
      <c r="A148" s="12">
        <v>3</v>
      </c>
      <c r="B148" s="97"/>
      <c r="C148" s="89" t="s">
        <v>500</v>
      </c>
      <c r="D148" s="11"/>
      <c r="E148" s="11"/>
      <c r="F148" s="11"/>
      <c r="G148" s="11">
        <v>930000</v>
      </c>
      <c r="H148" s="11"/>
    </row>
    <row r="149" spans="1:43" s="4" customFormat="1" ht="31.5" x14ac:dyDescent="0.25">
      <c r="A149" s="12">
        <f>A148+1</f>
        <v>4</v>
      </c>
      <c r="B149" s="97"/>
      <c r="C149" s="89" t="s">
        <v>501</v>
      </c>
      <c r="D149" s="11"/>
      <c r="E149" s="11">
        <v>930000</v>
      </c>
      <c r="F149" s="11"/>
      <c r="G149" s="11"/>
      <c r="H149" s="11"/>
    </row>
    <row r="150" spans="1:43" s="4" customFormat="1" x14ac:dyDescent="0.25">
      <c r="A150" s="12">
        <v>4</v>
      </c>
      <c r="B150" s="97"/>
      <c r="C150" s="89" t="s">
        <v>502</v>
      </c>
      <c r="D150" s="11">
        <v>690000</v>
      </c>
      <c r="E150" s="11">
        <v>670000</v>
      </c>
      <c r="F150" s="11">
        <v>690000</v>
      </c>
      <c r="G150" s="11"/>
      <c r="H150" s="11">
        <v>900000</v>
      </c>
    </row>
    <row r="151" spans="1:43" s="4" customFormat="1" ht="31.5" x14ac:dyDescent="0.25">
      <c r="A151" s="12">
        <f>A150+1</f>
        <v>5</v>
      </c>
      <c r="B151" s="97"/>
      <c r="C151" s="89" t="s">
        <v>503</v>
      </c>
      <c r="D151" s="11"/>
      <c r="E151" s="11">
        <v>930000</v>
      </c>
      <c r="F151" s="11"/>
      <c r="G151" s="11">
        <v>930000</v>
      </c>
      <c r="H151" s="11"/>
    </row>
    <row r="152" spans="1:43" s="4" customFormat="1" ht="31.5" x14ac:dyDescent="0.25">
      <c r="A152" s="12">
        <v>5</v>
      </c>
      <c r="B152" s="97"/>
      <c r="C152" s="89" t="s">
        <v>504</v>
      </c>
      <c r="D152" s="11"/>
      <c r="E152" s="11"/>
      <c r="F152" s="11"/>
      <c r="G152" s="11">
        <v>930000</v>
      </c>
      <c r="H152" s="11"/>
    </row>
    <row r="153" spans="1:43" s="4" customFormat="1" x14ac:dyDescent="0.25">
      <c r="A153" s="12">
        <f>A152+1</f>
        <v>6</v>
      </c>
      <c r="B153" s="97"/>
      <c r="C153" s="89" t="s">
        <v>505</v>
      </c>
      <c r="D153" s="14"/>
      <c r="E153" s="14"/>
      <c r="F153" s="14"/>
      <c r="G153" s="14">
        <v>930000</v>
      </c>
      <c r="H153" s="14"/>
    </row>
    <row r="154" spans="1:43" x14ac:dyDescent="0.25"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M154" s="1"/>
      <c r="AN154" s="1"/>
      <c r="AO154" s="1"/>
      <c r="AP154" s="1"/>
      <c r="AQ154" s="1"/>
    </row>
  </sheetData>
  <mergeCells count="6">
    <mergeCell ref="D1:H1"/>
    <mergeCell ref="A75:A76"/>
    <mergeCell ref="C75:C76"/>
    <mergeCell ref="D142:H142"/>
    <mergeCell ref="A2:A3"/>
    <mergeCell ref="C2:C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3AF3-B5BB-4E97-B3F9-A9297D087D72}">
  <sheetPr>
    <tabColor rgb="FFFF0000"/>
  </sheetPr>
  <dimension ref="A1:AT84"/>
  <sheetViews>
    <sheetView workbookViewId="0">
      <pane xSplit="2" ySplit="4" topLeftCell="C35" activePane="bottomRight" state="frozen"/>
      <selection activeCell="CO62" sqref="CO62"/>
      <selection pane="topRight" activeCell="CO62" sqref="CO62"/>
      <selection pane="bottomLeft" activeCell="CO62" sqref="CO62"/>
      <selection pane="bottomRight" activeCell="D50" sqref="D50"/>
    </sheetView>
  </sheetViews>
  <sheetFormatPr defaultRowHeight="15.75" x14ac:dyDescent="0.25"/>
  <cols>
    <col min="1" max="1" width="9.140625" style="2"/>
    <col min="2" max="6" width="45.7109375" style="3" customWidth="1"/>
    <col min="7" max="36" width="13.7109375" style="4" customWidth="1"/>
    <col min="37" max="41" width="13.7109375" style="1" customWidth="1"/>
    <col min="42" max="46" width="13.7109375" style="4" customWidth="1"/>
    <col min="47" max="283" width="13.7109375" style="1" customWidth="1"/>
    <col min="284" max="16384" width="9.140625" style="1"/>
  </cols>
  <sheetData>
    <row r="1" spans="1:46" ht="16.5" thickBot="1" x14ac:dyDescent="0.3"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P1" s="1"/>
      <c r="AQ1" s="1"/>
      <c r="AR1" s="1"/>
      <c r="AS1" s="1"/>
      <c r="AT1" s="1"/>
    </row>
    <row r="2" spans="1:46" ht="17.25" thickTop="1" thickBot="1" x14ac:dyDescent="0.3">
      <c r="A2" s="1"/>
      <c r="B2" s="1"/>
      <c r="C2" s="1"/>
      <c r="D2" s="1"/>
      <c r="E2" s="1"/>
      <c r="F2" s="1"/>
      <c r="G2" s="124" t="s">
        <v>427</v>
      </c>
      <c r="H2" s="125"/>
      <c r="I2" s="125"/>
      <c r="J2" s="125"/>
      <c r="K2" s="126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P2" s="1"/>
      <c r="AQ2" s="1"/>
      <c r="AR2" s="1"/>
      <c r="AS2" s="1"/>
      <c r="AT2" s="1"/>
    </row>
    <row r="3" spans="1:46" ht="16.5" thickTop="1" x14ac:dyDescent="0.25">
      <c r="A3" s="115" t="s">
        <v>0</v>
      </c>
      <c r="B3" s="115" t="s">
        <v>110</v>
      </c>
      <c r="C3" s="115" t="s">
        <v>599</v>
      </c>
      <c r="D3" s="115" t="s">
        <v>600</v>
      </c>
      <c r="E3" s="115" t="s">
        <v>639</v>
      </c>
      <c r="F3" s="115" t="s">
        <v>637</v>
      </c>
      <c r="G3" s="17" t="s">
        <v>2</v>
      </c>
      <c r="H3" s="17" t="s">
        <v>3</v>
      </c>
      <c r="I3" s="17" t="s">
        <v>4</v>
      </c>
      <c r="J3" s="17" t="s">
        <v>5</v>
      </c>
      <c r="K3" s="17" t="s">
        <v>430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P3" s="1"/>
      <c r="AQ3" s="1"/>
      <c r="AR3" s="1"/>
      <c r="AS3" s="1"/>
      <c r="AT3" s="1"/>
    </row>
    <row r="4" spans="1:46" x14ac:dyDescent="0.25">
      <c r="A4" s="115"/>
      <c r="B4" s="115"/>
      <c r="C4" s="115"/>
      <c r="D4" s="115"/>
      <c r="E4" s="115"/>
      <c r="F4" s="115"/>
      <c r="G4" s="5" t="s">
        <v>6</v>
      </c>
      <c r="H4" s="5" t="s">
        <v>7</v>
      </c>
      <c r="I4" s="5" t="s">
        <v>7</v>
      </c>
      <c r="J4" s="5" t="s">
        <v>7</v>
      </c>
      <c r="K4" s="5" t="s">
        <v>7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P4" s="1"/>
      <c r="AQ4" s="1"/>
      <c r="AR4" s="1"/>
      <c r="AS4" s="1"/>
      <c r="AT4" s="1"/>
    </row>
    <row r="5" spans="1:46" x14ac:dyDescent="0.25">
      <c r="A5" s="6">
        <v>1</v>
      </c>
      <c r="B5" s="15" t="s">
        <v>38</v>
      </c>
      <c r="C5" s="15" t="s">
        <v>27</v>
      </c>
      <c r="D5" s="15" t="s">
        <v>44</v>
      </c>
      <c r="E5" s="15"/>
      <c r="F5" s="15"/>
      <c r="G5" s="60">
        <v>0</v>
      </c>
      <c r="H5" s="60">
        <v>468000</v>
      </c>
      <c r="I5" s="60">
        <v>438000</v>
      </c>
      <c r="J5" s="60">
        <v>372000</v>
      </c>
      <c r="K5" s="60">
        <v>583000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P5" s="1"/>
      <c r="AQ5" s="1"/>
      <c r="AR5" s="1"/>
      <c r="AS5" s="1"/>
      <c r="AT5" s="1"/>
    </row>
    <row r="6" spans="1:46" x14ac:dyDescent="0.25">
      <c r="A6" s="9">
        <v>2</v>
      </c>
      <c r="B6" s="21" t="s">
        <v>525</v>
      </c>
      <c r="C6" s="15" t="s">
        <v>27</v>
      </c>
      <c r="D6" s="21" t="s">
        <v>601</v>
      </c>
      <c r="E6" s="21"/>
      <c r="F6" s="21"/>
      <c r="G6" s="61">
        <v>0</v>
      </c>
      <c r="H6" s="61">
        <v>438000</v>
      </c>
      <c r="I6" s="61">
        <v>352000</v>
      </c>
      <c r="J6" s="61">
        <v>302000</v>
      </c>
      <c r="K6" s="61">
        <v>522000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P6" s="1"/>
      <c r="AQ6" s="1"/>
      <c r="AR6" s="1"/>
      <c r="AS6" s="1"/>
      <c r="AT6" s="1"/>
    </row>
    <row r="7" spans="1:46" x14ac:dyDescent="0.25">
      <c r="A7" s="9">
        <v>3</v>
      </c>
      <c r="B7" s="21" t="s">
        <v>112</v>
      </c>
      <c r="C7" s="21" t="s">
        <v>32</v>
      </c>
      <c r="D7" s="21" t="s">
        <v>654</v>
      </c>
      <c r="E7" s="21"/>
      <c r="F7" s="21"/>
      <c r="G7" s="61">
        <v>0</v>
      </c>
      <c r="H7" s="61">
        <v>543000</v>
      </c>
      <c r="I7" s="61">
        <v>452000</v>
      </c>
      <c r="J7" s="61">
        <v>422000</v>
      </c>
      <c r="K7" s="61">
        <v>653000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P7" s="1"/>
      <c r="AQ7" s="1"/>
      <c r="AR7" s="1"/>
      <c r="AS7" s="1"/>
      <c r="AT7" s="1"/>
    </row>
    <row r="8" spans="1:46" ht="31.5" x14ac:dyDescent="0.25">
      <c r="A8" s="9">
        <v>4</v>
      </c>
      <c r="B8" s="21" t="s">
        <v>113</v>
      </c>
      <c r="C8" s="21" t="s">
        <v>19</v>
      </c>
      <c r="D8" s="21" t="s">
        <v>655</v>
      </c>
      <c r="E8" s="21"/>
      <c r="F8" s="21"/>
      <c r="G8" s="61">
        <v>0</v>
      </c>
      <c r="H8" s="61">
        <v>352000</v>
      </c>
      <c r="I8" s="61">
        <v>321000</v>
      </c>
      <c r="J8" s="61">
        <v>282000</v>
      </c>
      <c r="K8" s="61">
        <v>463000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P8" s="1"/>
      <c r="AQ8" s="1"/>
      <c r="AR8" s="1"/>
      <c r="AS8" s="1"/>
      <c r="AT8" s="1"/>
    </row>
    <row r="9" spans="1:46" ht="31.5" x14ac:dyDescent="0.25">
      <c r="A9" s="9">
        <v>5</v>
      </c>
      <c r="B9" s="21" t="s">
        <v>157</v>
      </c>
      <c r="C9" s="21" t="s">
        <v>83</v>
      </c>
      <c r="D9" s="21" t="s">
        <v>656</v>
      </c>
      <c r="E9" s="21"/>
      <c r="F9" s="21"/>
      <c r="G9" s="61">
        <v>0</v>
      </c>
      <c r="H9" s="61">
        <v>1156000</v>
      </c>
      <c r="I9" s="61">
        <v>1127000</v>
      </c>
      <c r="J9" s="61">
        <v>0</v>
      </c>
      <c r="K9" s="61">
        <v>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P9" s="1"/>
      <c r="AQ9" s="1"/>
      <c r="AR9" s="1"/>
      <c r="AS9" s="1"/>
      <c r="AT9" s="1"/>
    </row>
    <row r="10" spans="1:46" ht="31.5" x14ac:dyDescent="0.25">
      <c r="A10" s="9">
        <v>6</v>
      </c>
      <c r="B10" s="21" t="s">
        <v>156</v>
      </c>
      <c r="C10" s="21" t="s">
        <v>83</v>
      </c>
      <c r="D10" s="21" t="s">
        <v>657</v>
      </c>
      <c r="E10" s="21"/>
      <c r="F10" s="21"/>
      <c r="G10" s="61">
        <v>0</v>
      </c>
      <c r="H10" s="61">
        <v>1055000</v>
      </c>
      <c r="I10" s="61">
        <v>1005000</v>
      </c>
      <c r="J10" s="61">
        <v>1055000</v>
      </c>
      <c r="K10" s="61">
        <v>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P10" s="1"/>
      <c r="AQ10" s="1"/>
      <c r="AR10" s="1"/>
      <c r="AS10" s="1"/>
      <c r="AT10" s="1"/>
    </row>
    <row r="11" spans="1:46" ht="63" x14ac:dyDescent="0.25">
      <c r="A11" s="9">
        <v>7</v>
      </c>
      <c r="B11" s="21" t="s">
        <v>150</v>
      </c>
      <c r="C11" s="21" t="s">
        <v>638</v>
      </c>
      <c r="D11" s="21" t="s">
        <v>689</v>
      </c>
      <c r="E11" s="21"/>
      <c r="F11" s="21"/>
      <c r="G11" s="61">
        <v>1328000</v>
      </c>
      <c r="H11" s="61">
        <v>321000</v>
      </c>
      <c r="I11" s="61">
        <v>302000</v>
      </c>
      <c r="J11" s="61">
        <v>0</v>
      </c>
      <c r="K11" s="61">
        <v>392000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P11" s="1"/>
      <c r="AQ11" s="1"/>
      <c r="AR11" s="1"/>
      <c r="AS11" s="1"/>
      <c r="AT11" s="1"/>
    </row>
    <row r="12" spans="1:46" x14ac:dyDescent="0.25">
      <c r="A12" s="9">
        <v>8</v>
      </c>
      <c r="B12" s="21" t="s">
        <v>151</v>
      </c>
      <c r="C12" s="21" t="s">
        <v>638</v>
      </c>
      <c r="D12" s="21" t="s">
        <v>658</v>
      </c>
      <c r="E12" s="21"/>
      <c r="F12" s="21"/>
      <c r="G12" s="61">
        <v>1608000</v>
      </c>
      <c r="H12" s="61">
        <v>342000</v>
      </c>
      <c r="I12" s="61">
        <v>312000</v>
      </c>
      <c r="J12" s="61">
        <v>0</v>
      </c>
      <c r="K12" s="61">
        <v>412000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P12" s="1"/>
      <c r="AQ12" s="1"/>
      <c r="AR12" s="1"/>
      <c r="AS12" s="1"/>
      <c r="AT12" s="1"/>
    </row>
    <row r="13" spans="1:46" ht="63" x14ac:dyDescent="0.25">
      <c r="A13" s="9">
        <v>9</v>
      </c>
      <c r="B13" s="21" t="s">
        <v>149</v>
      </c>
      <c r="C13" s="21" t="s">
        <v>638</v>
      </c>
      <c r="D13" s="21" t="s">
        <v>659</v>
      </c>
      <c r="E13" s="21"/>
      <c r="F13" s="21"/>
      <c r="G13" s="61">
        <v>1106000</v>
      </c>
      <c r="H13" s="61">
        <v>282000</v>
      </c>
      <c r="I13" s="61">
        <v>262000</v>
      </c>
      <c r="J13" s="61">
        <v>0</v>
      </c>
      <c r="K13" s="61">
        <v>352000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P13" s="1"/>
      <c r="AQ13" s="1"/>
      <c r="AR13" s="1"/>
      <c r="AS13" s="1"/>
      <c r="AT13" s="1"/>
    </row>
    <row r="14" spans="1:46" ht="31.5" x14ac:dyDescent="0.25">
      <c r="A14" s="9">
        <v>10</v>
      </c>
      <c r="B14" s="21" t="s">
        <v>114</v>
      </c>
      <c r="C14" s="21" t="s">
        <v>69</v>
      </c>
      <c r="D14" s="21" t="s">
        <v>660</v>
      </c>
      <c r="E14" s="21"/>
      <c r="F14" s="21"/>
      <c r="G14" s="61">
        <v>0</v>
      </c>
      <c r="H14" s="61">
        <v>452000</v>
      </c>
      <c r="I14" s="61">
        <v>402000</v>
      </c>
      <c r="J14" s="61">
        <v>0</v>
      </c>
      <c r="K14" s="61">
        <v>553000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P14" s="1"/>
      <c r="AQ14" s="1"/>
      <c r="AR14" s="1"/>
      <c r="AS14" s="1"/>
      <c r="AT14" s="1"/>
    </row>
    <row r="15" spans="1:46" x14ac:dyDescent="0.25">
      <c r="A15" s="9">
        <v>11</v>
      </c>
      <c r="B15" s="21" t="s">
        <v>115</v>
      </c>
      <c r="C15" s="21" t="s">
        <v>94</v>
      </c>
      <c r="D15" s="21" t="s">
        <v>59</v>
      </c>
      <c r="E15" s="21"/>
      <c r="F15" s="21"/>
      <c r="G15" s="61">
        <v>0</v>
      </c>
      <c r="H15" s="61">
        <v>402000</v>
      </c>
      <c r="I15" s="61">
        <v>392000</v>
      </c>
      <c r="J15" s="61">
        <v>0</v>
      </c>
      <c r="K15" s="61">
        <v>522000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P15" s="1"/>
      <c r="AQ15" s="1"/>
      <c r="AR15" s="1"/>
      <c r="AS15" s="1"/>
      <c r="AT15" s="1"/>
    </row>
    <row r="16" spans="1:46" ht="31.5" x14ac:dyDescent="0.25">
      <c r="A16" s="9">
        <v>12</v>
      </c>
      <c r="B16" s="21" t="s">
        <v>116</v>
      </c>
      <c r="C16" s="21" t="s">
        <v>94</v>
      </c>
      <c r="D16" s="21" t="s">
        <v>661</v>
      </c>
      <c r="E16" s="21"/>
      <c r="F16" s="21"/>
      <c r="G16" s="61">
        <v>0</v>
      </c>
      <c r="H16" s="61">
        <v>443000</v>
      </c>
      <c r="I16" s="61">
        <v>402000</v>
      </c>
      <c r="J16" s="61">
        <v>0</v>
      </c>
      <c r="K16" s="61">
        <v>553000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P16" s="1"/>
      <c r="AQ16" s="1"/>
      <c r="AR16" s="1"/>
      <c r="AS16" s="1"/>
      <c r="AT16" s="1"/>
    </row>
    <row r="17" spans="1:46" x14ac:dyDescent="0.25">
      <c r="A17" s="9">
        <v>13</v>
      </c>
      <c r="B17" s="21" t="s">
        <v>117</v>
      </c>
      <c r="C17" s="21" t="s">
        <v>94</v>
      </c>
      <c r="D17" s="21" t="s">
        <v>332</v>
      </c>
      <c r="E17" s="21"/>
      <c r="F17" s="21"/>
      <c r="G17" s="61">
        <v>0</v>
      </c>
      <c r="H17" s="61">
        <v>522000</v>
      </c>
      <c r="I17" s="61">
        <v>483000</v>
      </c>
      <c r="J17" s="61">
        <v>0</v>
      </c>
      <c r="K17" s="61">
        <v>684000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P17" s="1"/>
      <c r="AQ17" s="1"/>
      <c r="AR17" s="1"/>
      <c r="AS17" s="1"/>
      <c r="AT17" s="1"/>
    </row>
    <row r="18" spans="1:46" x14ac:dyDescent="0.25">
      <c r="A18" s="9">
        <v>14</v>
      </c>
      <c r="B18" s="21" t="s">
        <v>526</v>
      </c>
      <c r="C18" s="21" t="s">
        <v>32</v>
      </c>
      <c r="D18" s="21" t="s">
        <v>601</v>
      </c>
      <c r="E18" s="21"/>
      <c r="F18" s="21"/>
      <c r="G18" s="61">
        <v>0</v>
      </c>
      <c r="H18" s="61">
        <v>563000</v>
      </c>
      <c r="I18" s="61">
        <v>522000</v>
      </c>
      <c r="J18" s="61">
        <v>443000</v>
      </c>
      <c r="K18" s="61">
        <v>723000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P18" s="1"/>
      <c r="AQ18" s="1"/>
      <c r="AR18" s="1"/>
      <c r="AS18" s="1"/>
      <c r="AT18" s="1"/>
    </row>
    <row r="19" spans="1:46" x14ac:dyDescent="0.25">
      <c r="A19" s="9">
        <v>15</v>
      </c>
      <c r="B19" s="21" t="s">
        <v>39</v>
      </c>
      <c r="C19" s="21" t="s">
        <v>32</v>
      </c>
      <c r="D19" s="21" t="s">
        <v>62</v>
      </c>
      <c r="E19" s="21"/>
      <c r="F19" s="21"/>
      <c r="G19" s="61">
        <v>0</v>
      </c>
      <c r="H19" s="61">
        <v>603000</v>
      </c>
      <c r="I19" s="61">
        <v>563000</v>
      </c>
      <c r="J19" s="61">
        <v>503000</v>
      </c>
      <c r="K19" s="61">
        <v>754000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P19" s="1"/>
      <c r="AQ19" s="1"/>
      <c r="AR19" s="1"/>
      <c r="AS19" s="1"/>
      <c r="AT19" s="1"/>
    </row>
    <row r="20" spans="1:46" ht="31.5" x14ac:dyDescent="0.25">
      <c r="A20" s="9">
        <v>16</v>
      </c>
      <c r="B20" s="21" t="s">
        <v>527</v>
      </c>
      <c r="C20" s="21" t="s">
        <v>20</v>
      </c>
      <c r="D20" s="21" t="s">
        <v>601</v>
      </c>
      <c r="E20" s="21"/>
      <c r="F20" s="21"/>
      <c r="G20" s="61">
        <v>0</v>
      </c>
      <c r="H20" s="61">
        <v>372000</v>
      </c>
      <c r="I20" s="61">
        <v>342000</v>
      </c>
      <c r="J20" s="61">
        <v>302000</v>
      </c>
      <c r="K20" s="61">
        <v>483000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P20" s="1"/>
      <c r="AQ20" s="1"/>
      <c r="AR20" s="1"/>
      <c r="AS20" s="1"/>
      <c r="AT20" s="1"/>
    </row>
    <row r="21" spans="1:46" x14ac:dyDescent="0.25">
      <c r="A21" s="9">
        <v>17</v>
      </c>
      <c r="B21" s="21" t="s">
        <v>118</v>
      </c>
      <c r="C21" s="21" t="s">
        <v>20</v>
      </c>
      <c r="D21" s="21" t="s">
        <v>662</v>
      </c>
      <c r="E21" s="21"/>
      <c r="F21" s="21"/>
      <c r="G21" s="61">
        <v>0</v>
      </c>
      <c r="H21" s="61">
        <v>402000</v>
      </c>
      <c r="I21" s="61">
        <v>372000</v>
      </c>
      <c r="J21" s="61">
        <v>352000</v>
      </c>
      <c r="K21" s="61">
        <v>553000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P21" s="1"/>
      <c r="AQ21" s="1"/>
      <c r="AR21" s="1"/>
      <c r="AS21" s="1"/>
      <c r="AT21" s="1"/>
    </row>
    <row r="22" spans="1:46" x14ac:dyDescent="0.25">
      <c r="A22" s="9">
        <v>18</v>
      </c>
      <c r="B22" s="21" t="s">
        <v>119</v>
      </c>
      <c r="C22" s="21" t="s">
        <v>20</v>
      </c>
      <c r="D22" s="21" t="s">
        <v>663</v>
      </c>
      <c r="E22" s="21"/>
      <c r="F22" s="21"/>
      <c r="G22" s="61">
        <v>0</v>
      </c>
      <c r="H22" s="61">
        <v>443000</v>
      </c>
      <c r="I22" s="61">
        <v>382000</v>
      </c>
      <c r="J22" s="61">
        <v>321000</v>
      </c>
      <c r="K22" s="61">
        <v>553000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P22" s="1"/>
      <c r="AQ22" s="1"/>
      <c r="AR22" s="1"/>
      <c r="AS22" s="1"/>
      <c r="AT22" s="1"/>
    </row>
    <row r="23" spans="1:46" ht="31.5" x14ac:dyDescent="0.25">
      <c r="A23" s="9">
        <v>19</v>
      </c>
      <c r="B23" s="21" t="s">
        <v>528</v>
      </c>
      <c r="C23" s="21" t="s">
        <v>15</v>
      </c>
      <c r="D23" s="21" t="s">
        <v>601</v>
      </c>
      <c r="E23" s="21"/>
      <c r="F23" s="21"/>
      <c r="G23" s="61">
        <v>0</v>
      </c>
      <c r="H23" s="61">
        <v>1307000</v>
      </c>
      <c r="I23" s="61">
        <v>1256000</v>
      </c>
      <c r="J23" s="61">
        <v>0</v>
      </c>
      <c r="K23" s="61">
        <v>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P23" s="1"/>
      <c r="AQ23" s="1"/>
      <c r="AR23" s="1"/>
      <c r="AS23" s="1"/>
      <c r="AT23" s="1"/>
    </row>
    <row r="24" spans="1:46" x14ac:dyDescent="0.25">
      <c r="A24" s="9">
        <v>20</v>
      </c>
      <c r="B24" s="21" t="s">
        <v>529</v>
      </c>
      <c r="C24" s="21" t="s">
        <v>120</v>
      </c>
      <c r="D24" s="21" t="s">
        <v>601</v>
      </c>
      <c r="E24" s="21"/>
      <c r="F24" s="21"/>
      <c r="G24" s="61">
        <v>0</v>
      </c>
      <c r="H24" s="61">
        <v>804000</v>
      </c>
      <c r="I24" s="61">
        <v>784000</v>
      </c>
      <c r="J24" s="61">
        <v>0</v>
      </c>
      <c r="K24" s="61">
        <v>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P24" s="1"/>
      <c r="AQ24" s="1"/>
      <c r="AR24" s="1"/>
      <c r="AS24" s="1"/>
      <c r="AT24" s="1"/>
    </row>
    <row r="25" spans="1:46" x14ac:dyDescent="0.25">
      <c r="A25" s="9">
        <v>21</v>
      </c>
      <c r="B25" s="21" t="s">
        <v>121</v>
      </c>
      <c r="C25" s="21" t="s">
        <v>120</v>
      </c>
      <c r="D25" s="21" t="s">
        <v>66</v>
      </c>
      <c r="E25" s="21"/>
      <c r="F25" s="21"/>
      <c r="G25" s="61">
        <v>0</v>
      </c>
      <c r="H25" s="61">
        <v>854000</v>
      </c>
      <c r="I25" s="61">
        <v>824000</v>
      </c>
      <c r="J25" s="61">
        <v>0</v>
      </c>
      <c r="K25" s="61">
        <v>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P25" s="1"/>
      <c r="AQ25" s="1"/>
      <c r="AR25" s="1"/>
      <c r="AS25" s="1"/>
      <c r="AT25" s="1"/>
    </row>
    <row r="26" spans="1:46" x14ac:dyDescent="0.25">
      <c r="A26" s="9">
        <v>22</v>
      </c>
      <c r="B26" s="21" t="s">
        <v>122</v>
      </c>
      <c r="C26" s="21" t="s">
        <v>94</v>
      </c>
      <c r="D26" s="21" t="s">
        <v>336</v>
      </c>
      <c r="E26" s="21"/>
      <c r="F26" s="21"/>
      <c r="G26" s="61">
        <v>0</v>
      </c>
      <c r="H26" s="61">
        <v>754000</v>
      </c>
      <c r="I26" s="61">
        <v>744000</v>
      </c>
      <c r="J26" s="61">
        <v>0</v>
      </c>
      <c r="K26" s="61">
        <v>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P26" s="1"/>
      <c r="AQ26" s="1"/>
      <c r="AR26" s="1"/>
      <c r="AS26" s="1"/>
      <c r="AT26" s="1"/>
    </row>
    <row r="27" spans="1:46" x14ac:dyDescent="0.25">
      <c r="A27" s="9">
        <v>23</v>
      </c>
      <c r="B27" s="21" t="s">
        <v>123</v>
      </c>
      <c r="C27" s="21" t="s">
        <v>94</v>
      </c>
      <c r="D27" s="21" t="s">
        <v>337</v>
      </c>
      <c r="E27" s="21"/>
      <c r="F27" s="21"/>
      <c r="G27" s="61">
        <v>0</v>
      </c>
      <c r="H27" s="61">
        <v>784000</v>
      </c>
      <c r="I27" s="61">
        <v>764000</v>
      </c>
      <c r="J27" s="61">
        <v>0</v>
      </c>
      <c r="K27" s="61">
        <v>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P27" s="1"/>
      <c r="AQ27" s="1"/>
      <c r="AR27" s="1"/>
      <c r="AS27" s="1"/>
      <c r="AT27" s="1"/>
    </row>
    <row r="28" spans="1:46" ht="47.25" x14ac:dyDescent="0.25">
      <c r="A28" s="9">
        <v>24</v>
      </c>
      <c r="B28" s="21" t="s">
        <v>152</v>
      </c>
      <c r="C28" s="21" t="s">
        <v>69</v>
      </c>
      <c r="D28" s="21" t="s">
        <v>664</v>
      </c>
      <c r="E28" s="21"/>
      <c r="F28" s="21"/>
      <c r="G28" s="61">
        <v>1156000</v>
      </c>
      <c r="H28" s="61">
        <v>282000</v>
      </c>
      <c r="I28" s="61">
        <v>251000</v>
      </c>
      <c r="J28" s="61">
        <v>0</v>
      </c>
      <c r="K28" s="61">
        <v>302000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P28" s="1"/>
      <c r="AQ28" s="1"/>
      <c r="AR28" s="1"/>
      <c r="AS28" s="1"/>
      <c r="AT28" s="1"/>
    </row>
    <row r="29" spans="1:46" ht="31.5" x14ac:dyDescent="0.25">
      <c r="A29" s="9">
        <v>25</v>
      </c>
      <c r="B29" s="21" t="s">
        <v>155</v>
      </c>
      <c r="C29" s="21" t="s">
        <v>69</v>
      </c>
      <c r="D29" s="21" t="s">
        <v>665</v>
      </c>
      <c r="E29" s="21"/>
      <c r="F29" s="21"/>
      <c r="G29" s="61">
        <v>2011000</v>
      </c>
      <c r="H29" s="61">
        <v>377000</v>
      </c>
      <c r="I29" s="61">
        <v>362000</v>
      </c>
      <c r="J29" s="61">
        <v>342000</v>
      </c>
      <c r="K29" s="61">
        <v>483000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P29" s="1"/>
      <c r="AQ29" s="1"/>
      <c r="AR29" s="1"/>
      <c r="AS29" s="1"/>
      <c r="AT29" s="1"/>
    </row>
    <row r="30" spans="1:46" ht="31.5" x14ac:dyDescent="0.25">
      <c r="A30" s="9">
        <v>26</v>
      </c>
      <c r="B30" s="21" t="s">
        <v>153</v>
      </c>
      <c r="C30" s="21" t="s">
        <v>69</v>
      </c>
      <c r="D30" s="21" t="s">
        <v>666</v>
      </c>
      <c r="E30" s="21"/>
      <c r="F30" s="21"/>
      <c r="G30" s="61">
        <v>1709000</v>
      </c>
      <c r="H30" s="61">
        <v>337000</v>
      </c>
      <c r="I30" s="61">
        <v>276000</v>
      </c>
      <c r="J30" s="61">
        <v>231000</v>
      </c>
      <c r="K30" s="61">
        <v>412000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P30" s="1"/>
      <c r="AQ30" s="1"/>
      <c r="AR30" s="1"/>
      <c r="AS30" s="1"/>
      <c r="AT30" s="1"/>
    </row>
    <row r="31" spans="1:46" x14ac:dyDescent="0.25">
      <c r="A31" s="9">
        <v>27</v>
      </c>
      <c r="B31" s="21" t="s">
        <v>124</v>
      </c>
      <c r="C31" s="21" t="s">
        <v>79</v>
      </c>
      <c r="D31" s="21" t="s">
        <v>667</v>
      </c>
      <c r="E31" s="21"/>
      <c r="F31" s="21"/>
      <c r="G31" s="61">
        <v>0</v>
      </c>
      <c r="H31" s="61">
        <v>377000</v>
      </c>
      <c r="I31" s="61">
        <v>332000</v>
      </c>
      <c r="J31" s="61">
        <v>302000</v>
      </c>
      <c r="K31" s="61">
        <v>472000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P31" s="1"/>
      <c r="AQ31" s="1"/>
      <c r="AR31" s="1"/>
      <c r="AS31" s="1"/>
      <c r="AT31" s="1"/>
    </row>
    <row r="32" spans="1:46" x14ac:dyDescent="0.25">
      <c r="A32" s="9">
        <v>28</v>
      </c>
      <c r="B32" s="21" t="s">
        <v>125</v>
      </c>
      <c r="C32" s="21" t="s">
        <v>79</v>
      </c>
      <c r="D32" s="21" t="s">
        <v>668</v>
      </c>
      <c r="E32" s="21"/>
      <c r="F32" s="21"/>
      <c r="G32" s="61">
        <v>0</v>
      </c>
      <c r="H32" s="61">
        <v>402000</v>
      </c>
      <c r="I32" s="61">
        <v>362000</v>
      </c>
      <c r="J32" s="61">
        <v>342000</v>
      </c>
      <c r="K32" s="61">
        <v>503000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P32" s="1"/>
      <c r="AQ32" s="1"/>
      <c r="AR32" s="1"/>
      <c r="AS32" s="1"/>
      <c r="AT32" s="1"/>
    </row>
    <row r="33" spans="1:46" x14ac:dyDescent="0.25">
      <c r="A33" s="9">
        <v>29</v>
      </c>
      <c r="B33" s="21" t="s">
        <v>126</v>
      </c>
      <c r="C33" s="21" t="s">
        <v>79</v>
      </c>
      <c r="D33" s="21" t="s">
        <v>669</v>
      </c>
      <c r="E33" s="21"/>
      <c r="F33" s="21"/>
      <c r="G33" s="61">
        <v>0</v>
      </c>
      <c r="H33" s="61">
        <v>352000</v>
      </c>
      <c r="I33" s="61">
        <v>312000</v>
      </c>
      <c r="J33" s="61">
        <v>302000</v>
      </c>
      <c r="K33" s="61">
        <v>412000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P33" s="1"/>
      <c r="AQ33" s="1"/>
      <c r="AR33" s="1"/>
      <c r="AS33" s="1"/>
      <c r="AT33" s="1"/>
    </row>
    <row r="34" spans="1:46" x14ac:dyDescent="0.25">
      <c r="A34" s="9">
        <v>30</v>
      </c>
      <c r="B34" s="21" t="s">
        <v>40</v>
      </c>
      <c r="C34" s="21" t="s">
        <v>83</v>
      </c>
      <c r="D34" s="21" t="s">
        <v>84</v>
      </c>
      <c r="E34" s="21"/>
      <c r="F34" s="21"/>
      <c r="G34" s="61">
        <v>0</v>
      </c>
      <c r="H34" s="61">
        <v>1106000</v>
      </c>
      <c r="I34" s="61">
        <v>1055000</v>
      </c>
      <c r="J34" s="61">
        <v>1046000</v>
      </c>
      <c r="K34" s="61">
        <v>0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P34" s="1"/>
      <c r="AQ34" s="1"/>
      <c r="AR34" s="1"/>
      <c r="AS34" s="1"/>
      <c r="AT34" s="1"/>
    </row>
    <row r="35" spans="1:46" x14ac:dyDescent="0.25">
      <c r="A35" s="9">
        <v>31</v>
      </c>
      <c r="B35" s="21" t="s">
        <v>128</v>
      </c>
      <c r="C35" s="21" t="s">
        <v>83</v>
      </c>
      <c r="D35" s="21" t="s">
        <v>698</v>
      </c>
      <c r="E35" s="21"/>
      <c r="F35" s="21"/>
      <c r="G35" s="61">
        <v>0</v>
      </c>
      <c r="H35" s="61">
        <v>1005000</v>
      </c>
      <c r="I35" s="61">
        <v>996000</v>
      </c>
      <c r="J35" s="61">
        <v>0</v>
      </c>
      <c r="K35" s="61">
        <v>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P35" s="1"/>
      <c r="AQ35" s="1"/>
      <c r="AR35" s="1"/>
      <c r="AS35" s="1"/>
      <c r="AT35" s="1"/>
    </row>
    <row r="36" spans="1:46" x14ac:dyDescent="0.25">
      <c r="A36" s="9">
        <v>32</v>
      </c>
      <c r="B36" s="21" t="s">
        <v>127</v>
      </c>
      <c r="C36" s="21" t="s">
        <v>83</v>
      </c>
      <c r="D36" s="21" t="s">
        <v>670</v>
      </c>
      <c r="E36" s="21"/>
      <c r="F36" s="21"/>
      <c r="G36" s="61">
        <v>0</v>
      </c>
      <c r="H36" s="61">
        <v>955000</v>
      </c>
      <c r="I36" s="61">
        <v>945000</v>
      </c>
      <c r="J36" s="61">
        <v>935000</v>
      </c>
      <c r="K36" s="61">
        <v>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P36" s="1"/>
      <c r="AQ36" s="1"/>
      <c r="AR36" s="1"/>
      <c r="AS36" s="1"/>
      <c r="AT36" s="1"/>
    </row>
    <row r="37" spans="1:46" ht="31.5" x14ac:dyDescent="0.25">
      <c r="A37" s="9">
        <v>33</v>
      </c>
      <c r="B37" s="21" t="s">
        <v>129</v>
      </c>
      <c r="C37" s="21" t="s">
        <v>20</v>
      </c>
      <c r="D37" s="21" t="s">
        <v>671</v>
      </c>
      <c r="E37" s="21"/>
      <c r="F37" s="21"/>
      <c r="G37" s="61">
        <v>0</v>
      </c>
      <c r="H37" s="61">
        <v>402000</v>
      </c>
      <c r="I37" s="61">
        <v>372000</v>
      </c>
      <c r="J37" s="61">
        <v>355000</v>
      </c>
      <c r="K37" s="61">
        <v>493000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P37" s="1"/>
      <c r="AQ37" s="1"/>
      <c r="AR37" s="1"/>
      <c r="AS37" s="1"/>
      <c r="AT37" s="1"/>
    </row>
    <row r="38" spans="1:46" ht="31.5" x14ac:dyDescent="0.25">
      <c r="A38" s="9">
        <v>34</v>
      </c>
      <c r="B38" s="21" t="s">
        <v>530</v>
      </c>
      <c r="C38" s="21" t="s">
        <v>638</v>
      </c>
      <c r="D38" s="21" t="s">
        <v>601</v>
      </c>
      <c r="E38" s="21"/>
      <c r="F38" s="21"/>
      <c r="G38" s="61">
        <v>895000</v>
      </c>
      <c r="H38" s="61">
        <v>262000</v>
      </c>
      <c r="I38" s="61">
        <v>241000</v>
      </c>
      <c r="J38" s="61">
        <v>221000</v>
      </c>
      <c r="K38" s="61">
        <v>262000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P38" s="1"/>
      <c r="AQ38" s="1"/>
      <c r="AR38" s="1"/>
      <c r="AS38" s="1"/>
      <c r="AT38" s="1"/>
    </row>
    <row r="39" spans="1:46" ht="31.5" x14ac:dyDescent="0.25">
      <c r="A39" s="9">
        <v>35</v>
      </c>
      <c r="B39" s="21" t="s">
        <v>531</v>
      </c>
      <c r="C39" s="21" t="s">
        <v>638</v>
      </c>
      <c r="D39" s="21" t="s">
        <v>601</v>
      </c>
      <c r="E39" s="21"/>
      <c r="F39" s="21" t="s">
        <v>366</v>
      </c>
      <c r="G39" s="61">
        <v>0</v>
      </c>
      <c r="H39" s="61">
        <v>321000</v>
      </c>
      <c r="I39" s="61">
        <v>302000</v>
      </c>
      <c r="J39" s="61">
        <v>0</v>
      </c>
      <c r="K39" s="61">
        <v>342000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P39" s="1"/>
      <c r="AQ39" s="1"/>
      <c r="AR39" s="1"/>
      <c r="AS39" s="1"/>
      <c r="AT39" s="1"/>
    </row>
    <row r="40" spans="1:46" ht="31.5" x14ac:dyDescent="0.25">
      <c r="A40" s="9">
        <v>36</v>
      </c>
      <c r="B40" s="21" t="s">
        <v>147</v>
      </c>
      <c r="C40" s="21" t="s">
        <v>638</v>
      </c>
      <c r="D40" s="21" t="s">
        <v>672</v>
      </c>
      <c r="E40" s="21"/>
      <c r="F40" s="21"/>
      <c r="G40" s="61">
        <v>1106000</v>
      </c>
      <c r="H40" s="61">
        <v>296000</v>
      </c>
      <c r="I40" s="61">
        <v>282000</v>
      </c>
      <c r="J40" s="61">
        <v>266000</v>
      </c>
      <c r="K40" s="61">
        <v>302000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P40" s="1"/>
      <c r="AQ40" s="1"/>
      <c r="AR40" s="1"/>
      <c r="AS40" s="1"/>
      <c r="AT40" s="1"/>
    </row>
    <row r="41" spans="1:46" x14ac:dyDescent="0.25">
      <c r="A41" s="9">
        <v>37</v>
      </c>
      <c r="B41" s="21" t="s">
        <v>130</v>
      </c>
      <c r="C41" s="21" t="s">
        <v>638</v>
      </c>
      <c r="D41" s="21"/>
      <c r="E41" s="21" t="s">
        <v>371</v>
      </c>
      <c r="F41" s="21"/>
      <c r="G41" s="61">
        <v>664000</v>
      </c>
      <c r="H41" s="61">
        <v>151000</v>
      </c>
      <c r="I41" s="61">
        <v>140000</v>
      </c>
      <c r="J41" s="61">
        <v>131000</v>
      </c>
      <c r="K41" s="61">
        <v>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P41" s="1"/>
      <c r="AQ41" s="1"/>
      <c r="AR41" s="1"/>
      <c r="AS41" s="1"/>
      <c r="AT41" s="1"/>
    </row>
    <row r="42" spans="1:46" x14ac:dyDescent="0.25">
      <c r="A42" s="9">
        <v>38</v>
      </c>
      <c r="B42" s="21" t="s">
        <v>532</v>
      </c>
      <c r="C42" s="21" t="s">
        <v>16</v>
      </c>
      <c r="D42" s="21" t="s">
        <v>601</v>
      </c>
      <c r="E42" s="21"/>
      <c r="F42" s="21"/>
      <c r="G42" s="61">
        <v>0</v>
      </c>
      <c r="H42" s="61">
        <v>1558000</v>
      </c>
      <c r="I42" s="61">
        <v>1457000</v>
      </c>
      <c r="J42" s="61">
        <v>0</v>
      </c>
      <c r="K42" s="61">
        <v>0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P42" s="1"/>
      <c r="AQ42" s="1"/>
      <c r="AR42" s="1"/>
      <c r="AS42" s="1"/>
      <c r="AT42" s="1"/>
    </row>
    <row r="43" spans="1:46" x14ac:dyDescent="0.25">
      <c r="A43" s="9">
        <v>39</v>
      </c>
      <c r="B43" s="21" t="s">
        <v>533</v>
      </c>
      <c r="C43" s="21" t="s">
        <v>33</v>
      </c>
      <c r="D43" s="21" t="s">
        <v>601</v>
      </c>
      <c r="E43" s="21"/>
      <c r="F43" s="21"/>
      <c r="G43" s="61">
        <v>0</v>
      </c>
      <c r="H43" s="61">
        <v>684000</v>
      </c>
      <c r="I43" s="61">
        <v>653000</v>
      </c>
      <c r="J43" s="61">
        <v>623000</v>
      </c>
      <c r="K43" s="61">
        <v>854000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P43" s="1"/>
      <c r="AQ43" s="1"/>
      <c r="AR43" s="1"/>
      <c r="AS43" s="1"/>
      <c r="AT43" s="1"/>
    </row>
    <row r="44" spans="1:46" x14ac:dyDescent="0.25">
      <c r="A44" s="9">
        <v>40</v>
      </c>
      <c r="B44" s="21" t="s">
        <v>131</v>
      </c>
      <c r="C44" s="21" t="s">
        <v>33</v>
      </c>
      <c r="D44" s="21" t="s">
        <v>673</v>
      </c>
      <c r="E44" s="21"/>
      <c r="F44" s="21"/>
      <c r="G44" s="61">
        <v>0</v>
      </c>
      <c r="H44" s="61">
        <v>633000</v>
      </c>
      <c r="I44" s="61">
        <v>603000</v>
      </c>
      <c r="J44" s="61">
        <v>594000</v>
      </c>
      <c r="K44" s="62">
        <v>824000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P44" s="1"/>
      <c r="AQ44" s="1"/>
      <c r="AR44" s="1"/>
      <c r="AS44" s="1"/>
      <c r="AT44" s="1"/>
    </row>
    <row r="45" spans="1:46" x14ac:dyDescent="0.25">
      <c r="A45" s="9">
        <v>41</v>
      </c>
      <c r="B45" s="21" t="s">
        <v>132</v>
      </c>
      <c r="C45" s="21" t="s">
        <v>27</v>
      </c>
      <c r="D45" s="21" t="s">
        <v>674</v>
      </c>
      <c r="E45" s="21"/>
      <c r="F45" s="21"/>
      <c r="G45" s="61">
        <v>0</v>
      </c>
      <c r="H45" s="61">
        <v>483000</v>
      </c>
      <c r="I45" s="61">
        <v>422000</v>
      </c>
      <c r="J45" s="61">
        <v>402000</v>
      </c>
      <c r="K45" s="61">
        <v>623000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P45" s="1"/>
      <c r="AQ45" s="1"/>
      <c r="AR45" s="1"/>
      <c r="AS45" s="1"/>
      <c r="AT45" s="1"/>
    </row>
    <row r="46" spans="1:46" x14ac:dyDescent="0.25">
      <c r="A46" s="9">
        <v>42</v>
      </c>
      <c r="B46" s="21" t="s">
        <v>154</v>
      </c>
      <c r="C46" s="21" t="s">
        <v>27</v>
      </c>
      <c r="D46" s="21" t="s">
        <v>92</v>
      </c>
      <c r="E46" s="21"/>
      <c r="F46" s="21"/>
      <c r="G46" s="61">
        <v>0</v>
      </c>
      <c r="H46" s="61">
        <v>533000</v>
      </c>
      <c r="I46" s="61">
        <v>483000</v>
      </c>
      <c r="J46" s="61">
        <v>452000</v>
      </c>
      <c r="K46" s="61">
        <v>684000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P46" s="1"/>
      <c r="AQ46" s="1"/>
      <c r="AR46" s="1"/>
      <c r="AS46" s="1"/>
      <c r="AT46" s="1"/>
    </row>
    <row r="47" spans="1:46" x14ac:dyDescent="0.25">
      <c r="A47" s="9">
        <v>43</v>
      </c>
      <c r="B47" s="21" t="s">
        <v>133</v>
      </c>
      <c r="C47" s="21" t="s">
        <v>27</v>
      </c>
      <c r="D47" s="21" t="s">
        <v>602</v>
      </c>
      <c r="E47" s="21"/>
      <c r="F47" s="21"/>
      <c r="G47" s="61">
        <v>0</v>
      </c>
      <c r="H47" s="61">
        <v>1206000</v>
      </c>
      <c r="I47" s="61">
        <v>1156000</v>
      </c>
      <c r="J47" s="61">
        <v>1091000</v>
      </c>
      <c r="K47" s="61">
        <v>0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P47" s="1"/>
      <c r="AQ47" s="1"/>
      <c r="AR47" s="1"/>
      <c r="AS47" s="1"/>
      <c r="AT47" s="1"/>
    </row>
    <row r="48" spans="1:46" x14ac:dyDescent="0.25">
      <c r="A48" s="9">
        <v>44</v>
      </c>
      <c r="B48" s="21" t="s">
        <v>134</v>
      </c>
      <c r="C48" s="21" t="s">
        <v>13</v>
      </c>
      <c r="D48" s="21" t="s">
        <v>675</v>
      </c>
      <c r="E48" s="21"/>
      <c r="F48" s="21"/>
      <c r="G48" s="61">
        <v>0</v>
      </c>
      <c r="H48" s="61">
        <v>1106000</v>
      </c>
      <c r="I48" s="61">
        <v>1096000</v>
      </c>
      <c r="J48" s="61">
        <v>1086000</v>
      </c>
      <c r="K48" s="61">
        <v>0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P48" s="1"/>
      <c r="AQ48" s="1"/>
      <c r="AR48" s="1"/>
      <c r="AS48" s="1"/>
      <c r="AT48" s="1"/>
    </row>
    <row r="49" spans="1:46" x14ac:dyDescent="0.25">
      <c r="A49" s="9">
        <v>45</v>
      </c>
      <c r="B49" s="21" t="s">
        <v>135</v>
      </c>
      <c r="C49" s="21" t="s">
        <v>94</v>
      </c>
      <c r="D49" s="21" t="s">
        <v>676</v>
      </c>
      <c r="E49" s="21"/>
      <c r="F49" s="21"/>
      <c r="G49" s="61">
        <v>0</v>
      </c>
      <c r="H49" s="61">
        <v>452000</v>
      </c>
      <c r="I49" s="61">
        <v>422000</v>
      </c>
      <c r="J49" s="61">
        <v>402000</v>
      </c>
      <c r="K49" s="61">
        <v>603000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P49" s="1"/>
      <c r="AQ49" s="1"/>
      <c r="AR49" s="1"/>
      <c r="AS49" s="1"/>
      <c r="AT49" s="1"/>
    </row>
    <row r="50" spans="1:46" ht="31.5" x14ac:dyDescent="0.25">
      <c r="A50" s="9">
        <v>46</v>
      </c>
      <c r="B50" s="21" t="s">
        <v>136</v>
      </c>
      <c r="C50" s="21" t="s">
        <v>94</v>
      </c>
      <c r="D50" s="21" t="s">
        <v>692</v>
      </c>
      <c r="E50" s="21"/>
      <c r="F50" s="21"/>
      <c r="G50" s="61">
        <v>0</v>
      </c>
      <c r="H50" s="61">
        <v>573000</v>
      </c>
      <c r="I50" s="61">
        <v>522000</v>
      </c>
      <c r="J50" s="61">
        <v>513000</v>
      </c>
      <c r="K50" s="61">
        <v>744000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P50" s="1"/>
      <c r="AQ50" s="1"/>
      <c r="AR50" s="1"/>
      <c r="AS50" s="1"/>
      <c r="AT50" s="1"/>
    </row>
    <row r="51" spans="1:46" x14ac:dyDescent="0.25">
      <c r="A51" s="9">
        <v>47</v>
      </c>
      <c r="B51" s="21" t="s">
        <v>137</v>
      </c>
      <c r="C51" s="21" t="s">
        <v>94</v>
      </c>
      <c r="D51" s="21" t="s">
        <v>693</v>
      </c>
      <c r="E51" s="21"/>
      <c r="F51" s="21"/>
      <c r="G51" s="61">
        <v>0</v>
      </c>
      <c r="H51" s="61">
        <v>543000</v>
      </c>
      <c r="I51" s="61">
        <v>503000</v>
      </c>
      <c r="J51" s="61">
        <v>483000</v>
      </c>
      <c r="K51" s="61">
        <v>704000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P51" s="1"/>
      <c r="AQ51" s="1"/>
      <c r="AR51" s="1"/>
      <c r="AS51" s="1"/>
      <c r="AT51" s="1"/>
    </row>
    <row r="52" spans="1:46" ht="63" x14ac:dyDescent="0.25">
      <c r="A52" s="9">
        <v>48</v>
      </c>
      <c r="B52" s="21" t="s">
        <v>160</v>
      </c>
      <c r="C52" s="21" t="s">
        <v>9</v>
      </c>
      <c r="D52" s="21" t="s">
        <v>694</v>
      </c>
      <c r="E52" s="21"/>
      <c r="F52" s="21"/>
      <c r="G52" s="61">
        <v>1156000</v>
      </c>
      <c r="H52" s="61">
        <v>282000</v>
      </c>
      <c r="I52" s="61">
        <v>262000</v>
      </c>
      <c r="J52" s="61">
        <v>251000</v>
      </c>
      <c r="K52" s="61">
        <v>321000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P52" s="1"/>
      <c r="AQ52" s="1"/>
      <c r="AR52" s="1"/>
      <c r="AS52" s="1"/>
      <c r="AT52" s="1"/>
    </row>
    <row r="53" spans="1:46" x14ac:dyDescent="0.25">
      <c r="A53" s="9">
        <v>49</v>
      </c>
      <c r="B53" s="21" t="s">
        <v>159</v>
      </c>
      <c r="C53" s="21" t="s">
        <v>9</v>
      </c>
      <c r="D53" s="21" t="s">
        <v>98</v>
      </c>
      <c r="E53" s="21"/>
      <c r="F53" s="21"/>
      <c r="G53" s="61">
        <v>723000</v>
      </c>
      <c r="H53" s="61">
        <v>251000</v>
      </c>
      <c r="I53" s="61">
        <v>241000</v>
      </c>
      <c r="J53" s="61">
        <v>231000</v>
      </c>
      <c r="K53" s="61">
        <v>0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P53" s="1"/>
      <c r="AQ53" s="1"/>
      <c r="AR53" s="1"/>
      <c r="AS53" s="1"/>
      <c r="AT53" s="1"/>
    </row>
    <row r="54" spans="1:46" x14ac:dyDescent="0.25">
      <c r="A54" s="9">
        <v>50</v>
      </c>
      <c r="B54" s="21" t="s">
        <v>139</v>
      </c>
      <c r="C54" s="21" t="s">
        <v>9</v>
      </c>
      <c r="D54" s="21"/>
      <c r="E54" s="21" t="s">
        <v>678</v>
      </c>
      <c r="F54" s="21"/>
      <c r="G54" s="61">
        <v>1407000</v>
      </c>
      <c r="H54" s="61">
        <v>362000</v>
      </c>
      <c r="I54" s="61">
        <v>302000</v>
      </c>
      <c r="J54" s="61">
        <v>282000</v>
      </c>
      <c r="K54" s="61">
        <v>0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P54" s="1"/>
      <c r="AQ54" s="1"/>
      <c r="AR54" s="1"/>
      <c r="AS54" s="1"/>
      <c r="AT54" s="1"/>
    </row>
    <row r="55" spans="1:46" x14ac:dyDescent="0.25">
      <c r="A55" s="9">
        <v>51</v>
      </c>
      <c r="B55" s="21" t="s">
        <v>140</v>
      </c>
      <c r="C55" s="21" t="s">
        <v>33</v>
      </c>
      <c r="D55" s="21" t="s">
        <v>679</v>
      </c>
      <c r="E55" s="21"/>
      <c r="F55" s="21"/>
      <c r="G55" s="61">
        <v>0</v>
      </c>
      <c r="H55" s="61">
        <v>603000</v>
      </c>
      <c r="I55" s="61">
        <v>573000</v>
      </c>
      <c r="J55" s="61">
        <v>533000</v>
      </c>
      <c r="K55" s="61">
        <v>845000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P55" s="1"/>
      <c r="AQ55" s="1"/>
      <c r="AR55" s="1"/>
      <c r="AS55" s="1"/>
      <c r="AT55" s="1"/>
    </row>
    <row r="56" spans="1:46" x14ac:dyDescent="0.25">
      <c r="A56" s="9">
        <v>52</v>
      </c>
      <c r="B56" s="21" t="s">
        <v>141</v>
      </c>
      <c r="C56" s="21" t="s">
        <v>120</v>
      </c>
      <c r="D56" s="21" t="s">
        <v>680</v>
      </c>
      <c r="E56" s="21"/>
      <c r="F56" s="21"/>
      <c r="G56" s="61">
        <v>0</v>
      </c>
      <c r="H56" s="61">
        <v>905000</v>
      </c>
      <c r="I56" s="61">
        <v>885000</v>
      </c>
      <c r="J56" s="61">
        <v>0</v>
      </c>
      <c r="K56" s="61">
        <v>0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P56" s="1"/>
      <c r="AQ56" s="1"/>
      <c r="AR56" s="1"/>
      <c r="AS56" s="1"/>
      <c r="AT56" s="1"/>
    </row>
    <row r="57" spans="1:46" ht="31.5" x14ac:dyDescent="0.25">
      <c r="A57" s="9">
        <v>53</v>
      </c>
      <c r="B57" s="21" t="s">
        <v>142</v>
      </c>
      <c r="C57" s="21" t="s">
        <v>15</v>
      </c>
      <c r="D57" s="21" t="s">
        <v>681</v>
      </c>
      <c r="E57" s="21"/>
      <c r="F57" s="21"/>
      <c r="G57" s="61">
        <v>0</v>
      </c>
      <c r="H57" s="61">
        <v>1287000</v>
      </c>
      <c r="I57" s="61">
        <v>1277000</v>
      </c>
      <c r="J57" s="61">
        <v>0</v>
      </c>
      <c r="K57" s="61">
        <v>0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P57" s="1"/>
      <c r="AQ57" s="1"/>
      <c r="AR57" s="1"/>
      <c r="AS57" s="1"/>
      <c r="AT57" s="1"/>
    </row>
    <row r="58" spans="1:46" x14ac:dyDescent="0.25">
      <c r="A58" s="9">
        <v>54</v>
      </c>
      <c r="B58" s="21" t="s">
        <v>534</v>
      </c>
      <c r="C58" s="21" t="s">
        <v>699</v>
      </c>
      <c r="D58" s="21" t="s">
        <v>601</v>
      </c>
      <c r="E58" s="21"/>
      <c r="F58" s="21"/>
      <c r="G58" s="61">
        <v>0</v>
      </c>
      <c r="H58" s="61">
        <v>1256000</v>
      </c>
      <c r="I58" s="61">
        <v>1247000</v>
      </c>
      <c r="J58" s="61">
        <v>0</v>
      </c>
      <c r="K58" s="61">
        <v>0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P58" s="1"/>
      <c r="AQ58" s="1"/>
      <c r="AR58" s="1"/>
      <c r="AS58" s="1"/>
      <c r="AT58" s="1"/>
    </row>
    <row r="59" spans="1:46" x14ac:dyDescent="0.25">
      <c r="A59" s="9">
        <v>55</v>
      </c>
      <c r="B59" s="21" t="s">
        <v>535</v>
      </c>
      <c r="C59" s="21" t="s">
        <v>17</v>
      </c>
      <c r="D59" s="21" t="s">
        <v>601</v>
      </c>
      <c r="E59" s="21"/>
      <c r="F59" s="21"/>
      <c r="G59" s="61">
        <v>0</v>
      </c>
      <c r="H59" s="61">
        <v>1608000</v>
      </c>
      <c r="I59" s="61">
        <v>1558000</v>
      </c>
      <c r="J59" s="61">
        <v>0</v>
      </c>
      <c r="K59" s="61">
        <v>0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P59" s="1"/>
      <c r="AQ59" s="1"/>
      <c r="AR59" s="1"/>
      <c r="AS59" s="1"/>
      <c r="AT59" s="1"/>
    </row>
    <row r="60" spans="1:46" x14ac:dyDescent="0.25">
      <c r="A60" s="9">
        <v>56</v>
      </c>
      <c r="B60" s="21" t="s">
        <v>143</v>
      </c>
      <c r="C60" s="21" t="s">
        <v>20</v>
      </c>
      <c r="D60" s="21" t="s">
        <v>682</v>
      </c>
      <c r="E60" s="21"/>
      <c r="F60" s="21"/>
      <c r="G60" s="61">
        <v>0</v>
      </c>
      <c r="H60" s="61">
        <v>463000</v>
      </c>
      <c r="I60" s="61">
        <v>432000</v>
      </c>
      <c r="J60" s="61">
        <v>382000</v>
      </c>
      <c r="K60" s="61">
        <v>543000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P60" s="1"/>
      <c r="AQ60" s="1"/>
      <c r="AR60" s="1"/>
      <c r="AS60" s="1"/>
      <c r="AT60" s="1"/>
    </row>
    <row r="61" spans="1:46" x14ac:dyDescent="0.25">
      <c r="A61" s="9">
        <v>57</v>
      </c>
      <c r="B61" s="21" t="s">
        <v>536</v>
      </c>
      <c r="C61" s="21" t="s">
        <v>9</v>
      </c>
      <c r="D61" s="21" t="s">
        <v>601</v>
      </c>
      <c r="E61" s="21"/>
      <c r="F61" s="21"/>
      <c r="G61" s="61">
        <v>0</v>
      </c>
      <c r="H61" s="61">
        <v>382000</v>
      </c>
      <c r="I61" s="61">
        <v>372000</v>
      </c>
      <c r="J61" s="61">
        <v>0</v>
      </c>
      <c r="K61" s="61">
        <v>472000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P61" s="1"/>
      <c r="AQ61" s="1"/>
      <c r="AR61" s="1"/>
      <c r="AS61" s="1"/>
      <c r="AT61" s="1"/>
    </row>
    <row r="62" spans="1:46" ht="31.5" x14ac:dyDescent="0.25">
      <c r="A62" s="9">
        <v>58</v>
      </c>
      <c r="B62" s="21" t="s">
        <v>158</v>
      </c>
      <c r="C62" s="21" t="s">
        <v>9</v>
      </c>
      <c r="D62" s="21" t="s">
        <v>683</v>
      </c>
      <c r="E62" s="21"/>
      <c r="F62" s="21"/>
      <c r="G62" s="61">
        <v>0</v>
      </c>
      <c r="H62" s="61">
        <v>382000</v>
      </c>
      <c r="I62" s="61">
        <v>372000</v>
      </c>
      <c r="J62" s="61">
        <v>0</v>
      </c>
      <c r="K62" s="61">
        <v>472000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P62" s="1"/>
      <c r="AQ62" s="1"/>
      <c r="AR62" s="1"/>
      <c r="AS62" s="1"/>
      <c r="AT62" s="1"/>
    </row>
    <row r="63" spans="1:46" ht="31.5" x14ac:dyDescent="0.25">
      <c r="A63" s="9">
        <v>59</v>
      </c>
      <c r="B63" s="21" t="s">
        <v>144</v>
      </c>
      <c r="C63" s="21" t="s">
        <v>79</v>
      </c>
      <c r="D63" s="21" t="s">
        <v>684</v>
      </c>
      <c r="E63" s="21"/>
      <c r="F63" s="21"/>
      <c r="G63" s="61">
        <v>0</v>
      </c>
      <c r="H63" s="61">
        <v>372000</v>
      </c>
      <c r="I63" s="61">
        <v>362000</v>
      </c>
      <c r="J63" s="61">
        <v>352000</v>
      </c>
      <c r="K63" s="61">
        <v>472000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P63" s="1"/>
      <c r="AQ63" s="1"/>
      <c r="AR63" s="1"/>
      <c r="AS63" s="1"/>
      <c r="AT63" s="1"/>
    </row>
    <row r="64" spans="1:46" ht="31.5" x14ac:dyDescent="0.25">
      <c r="A64" s="9">
        <v>60</v>
      </c>
      <c r="B64" s="21" t="s">
        <v>145</v>
      </c>
      <c r="C64" s="21" t="s">
        <v>79</v>
      </c>
      <c r="D64" s="21" t="s">
        <v>685</v>
      </c>
      <c r="E64" s="21"/>
      <c r="F64" s="21"/>
      <c r="G64" s="61">
        <v>0</v>
      </c>
      <c r="H64" s="61">
        <v>362000</v>
      </c>
      <c r="I64" s="61">
        <v>352000</v>
      </c>
      <c r="J64" s="61">
        <v>342000</v>
      </c>
      <c r="K64" s="61">
        <v>463000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P64" s="1"/>
      <c r="AQ64" s="1"/>
      <c r="AR64" s="1"/>
      <c r="AS64" s="1"/>
      <c r="AT64" s="1"/>
    </row>
    <row r="65" spans="1:46" x14ac:dyDescent="0.25">
      <c r="A65" s="9">
        <v>61</v>
      </c>
      <c r="B65" s="21" t="s">
        <v>163</v>
      </c>
      <c r="C65" s="21" t="s">
        <v>19</v>
      </c>
      <c r="D65" s="21" t="s">
        <v>695</v>
      </c>
      <c r="E65" s="21"/>
      <c r="F65" s="21"/>
      <c r="G65" s="61">
        <v>0</v>
      </c>
      <c r="H65" s="61">
        <v>432000</v>
      </c>
      <c r="I65" s="61">
        <v>422000</v>
      </c>
      <c r="J65" s="61">
        <v>352000</v>
      </c>
      <c r="K65" s="61">
        <v>553000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P65" s="1"/>
      <c r="AQ65" s="1"/>
      <c r="AR65" s="1"/>
      <c r="AS65" s="1"/>
      <c r="AT65" s="1"/>
    </row>
    <row r="66" spans="1:46" x14ac:dyDescent="0.25">
      <c r="A66" s="9">
        <v>62</v>
      </c>
      <c r="B66" s="21" t="s">
        <v>537</v>
      </c>
      <c r="C66" s="21" t="s">
        <v>19</v>
      </c>
      <c r="D66" s="21" t="s">
        <v>601</v>
      </c>
      <c r="E66" s="21"/>
      <c r="F66" s="21"/>
      <c r="G66" s="61">
        <v>0</v>
      </c>
      <c r="H66" s="61">
        <v>382000</v>
      </c>
      <c r="I66" s="61">
        <v>362000</v>
      </c>
      <c r="J66" s="61">
        <v>321000</v>
      </c>
      <c r="K66" s="61">
        <v>483000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P66" s="1"/>
      <c r="AQ66" s="1"/>
      <c r="AR66" s="1"/>
      <c r="AS66" s="1"/>
      <c r="AT66" s="1"/>
    </row>
    <row r="67" spans="1:46" x14ac:dyDescent="0.25">
      <c r="A67" s="9">
        <v>63</v>
      </c>
      <c r="B67" s="21" t="s">
        <v>148</v>
      </c>
      <c r="C67" s="21" t="s">
        <v>638</v>
      </c>
      <c r="D67" s="21" t="s">
        <v>687</v>
      </c>
      <c r="E67" s="21"/>
      <c r="F67" s="21"/>
      <c r="G67" s="61">
        <v>0</v>
      </c>
      <c r="H67" s="61">
        <v>352000</v>
      </c>
      <c r="I67" s="61">
        <v>332000</v>
      </c>
      <c r="J67" s="61">
        <v>251000</v>
      </c>
      <c r="K67" s="61">
        <v>412000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P67" s="1"/>
      <c r="AQ67" s="1"/>
      <c r="AR67" s="1"/>
      <c r="AS67" s="1"/>
      <c r="AT67" s="1"/>
    </row>
    <row r="68" spans="1:46" ht="31.5" x14ac:dyDescent="0.25">
      <c r="A68" s="12">
        <v>64</v>
      </c>
      <c r="B68" s="16" t="s">
        <v>111</v>
      </c>
      <c r="C68" s="21" t="s">
        <v>638</v>
      </c>
      <c r="D68" s="16" t="s">
        <v>688</v>
      </c>
      <c r="E68" s="16"/>
      <c r="F68" s="16"/>
      <c r="G68" s="63">
        <v>0</v>
      </c>
      <c r="H68" s="63">
        <v>342000</v>
      </c>
      <c r="I68" s="63">
        <v>332000</v>
      </c>
      <c r="J68" s="63">
        <v>0</v>
      </c>
      <c r="K68" s="63">
        <v>392000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P68" s="1"/>
      <c r="AQ68" s="1"/>
      <c r="AR68" s="1"/>
      <c r="AS68" s="1"/>
      <c r="AT68" s="1"/>
    </row>
    <row r="69" spans="1:46" x14ac:dyDescent="0.25">
      <c r="AJ69" s="1"/>
      <c r="AO69" s="4"/>
      <c r="AT69" s="1"/>
    </row>
    <row r="70" spans="1:46" x14ac:dyDescent="0.25">
      <c r="A70" s="84"/>
      <c r="B70" s="86" t="s">
        <v>483</v>
      </c>
      <c r="C70" s="86"/>
      <c r="D70" s="86"/>
      <c r="E70" s="86"/>
      <c r="F70" s="86"/>
      <c r="G70" s="85"/>
      <c r="P70" s="1"/>
      <c r="Q70" s="1"/>
      <c r="R70" s="1"/>
      <c r="S70" s="1"/>
      <c r="T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P70" s="1"/>
      <c r="AQ70" s="1"/>
      <c r="AR70" s="1"/>
      <c r="AS70" s="1"/>
      <c r="AT70" s="1"/>
    </row>
    <row r="71" spans="1:46" ht="16.5" thickBot="1" x14ac:dyDescent="0.3">
      <c r="A71" s="84"/>
      <c r="B71" s="86"/>
      <c r="C71" s="86"/>
      <c r="D71" s="86"/>
      <c r="E71" s="86"/>
      <c r="F71" s="86"/>
      <c r="G71" s="85"/>
      <c r="P71" s="1"/>
      <c r="Q71" s="1"/>
      <c r="R71" s="1"/>
      <c r="S71" s="1"/>
      <c r="T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P71" s="1"/>
      <c r="AQ71" s="1"/>
      <c r="AR71" s="1"/>
      <c r="AS71" s="1"/>
      <c r="AT71" s="1"/>
    </row>
    <row r="72" spans="1:46" ht="17.25" thickTop="1" thickBot="1" x14ac:dyDescent="0.3">
      <c r="A72" s="1"/>
      <c r="B72" s="1"/>
      <c r="C72" s="1"/>
      <c r="D72" s="1"/>
      <c r="E72" s="1"/>
      <c r="F72" s="1"/>
      <c r="G72" s="40">
        <v>46023</v>
      </c>
      <c r="P72" s="1"/>
      <c r="Q72" s="1"/>
      <c r="R72" s="1"/>
      <c r="S72" s="1"/>
      <c r="T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P72" s="1"/>
      <c r="AQ72" s="1"/>
      <c r="AR72" s="1"/>
      <c r="AS72" s="1"/>
      <c r="AT72" s="1"/>
    </row>
    <row r="73" spans="1:46" ht="16.5" thickTop="1" x14ac:dyDescent="0.25">
      <c r="A73" s="5" t="s">
        <v>0</v>
      </c>
      <c r="B73" s="5" t="s">
        <v>1</v>
      </c>
      <c r="C73" s="5" t="s">
        <v>599</v>
      </c>
      <c r="D73" s="5" t="s">
        <v>600</v>
      </c>
      <c r="E73" s="5" t="s">
        <v>639</v>
      </c>
      <c r="F73" s="5" t="s">
        <v>700</v>
      </c>
      <c r="G73" s="17" t="s">
        <v>6</v>
      </c>
      <c r="P73" s="1"/>
      <c r="Q73" s="1"/>
      <c r="R73" s="1"/>
      <c r="S73" s="1"/>
      <c r="T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P73" s="1"/>
      <c r="AQ73" s="1"/>
      <c r="AR73" s="1"/>
      <c r="AS73" s="1"/>
      <c r="AT73" s="1"/>
    </row>
    <row r="74" spans="1:46" ht="47.25" x14ac:dyDescent="0.25">
      <c r="A74" s="12">
        <v>1</v>
      </c>
      <c r="B74" s="43" t="s">
        <v>451</v>
      </c>
      <c r="C74" s="43" t="s">
        <v>638</v>
      </c>
      <c r="D74" s="43"/>
      <c r="E74" s="43" t="s">
        <v>704</v>
      </c>
      <c r="F74" s="43" t="s">
        <v>701</v>
      </c>
      <c r="G74" s="44">
        <v>625000</v>
      </c>
      <c r="P74" s="1"/>
      <c r="Q74" s="1"/>
      <c r="R74" s="1"/>
      <c r="S74" s="1"/>
      <c r="T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P74" s="1"/>
      <c r="AQ74" s="1"/>
      <c r="AR74" s="1"/>
      <c r="AS74" s="1"/>
      <c r="AT74" s="1"/>
    </row>
    <row r="75" spans="1:46" ht="47.25" x14ac:dyDescent="0.25">
      <c r="A75" s="12">
        <f>A74+1</f>
        <v>2</v>
      </c>
      <c r="B75" s="43" t="s">
        <v>452</v>
      </c>
      <c r="C75" s="43" t="s">
        <v>638</v>
      </c>
      <c r="D75" s="43"/>
      <c r="E75" s="43" t="s">
        <v>704</v>
      </c>
      <c r="F75" s="43" t="s">
        <v>702</v>
      </c>
      <c r="G75" s="44">
        <v>605000</v>
      </c>
      <c r="P75" s="1"/>
      <c r="Q75" s="1"/>
      <c r="R75" s="1"/>
      <c r="S75" s="1"/>
      <c r="T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P75" s="1"/>
      <c r="AQ75" s="1"/>
      <c r="AR75" s="1"/>
      <c r="AS75" s="1"/>
      <c r="AT75" s="1"/>
    </row>
    <row r="76" spans="1:46" ht="47.25" x14ac:dyDescent="0.25">
      <c r="A76" s="12">
        <f>A75+1</f>
        <v>3</v>
      </c>
      <c r="B76" s="43" t="s">
        <v>453</v>
      </c>
      <c r="C76" s="43" t="s">
        <v>638</v>
      </c>
      <c r="D76" s="43"/>
      <c r="E76" s="43" t="s">
        <v>704</v>
      </c>
      <c r="F76" s="43" t="s">
        <v>703</v>
      </c>
      <c r="G76" s="44">
        <v>439000</v>
      </c>
      <c r="P76" s="1"/>
      <c r="Q76" s="1"/>
      <c r="R76" s="1"/>
      <c r="S76" s="1"/>
      <c r="T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P76" s="1"/>
      <c r="AQ76" s="1"/>
      <c r="AR76" s="1"/>
      <c r="AS76" s="1"/>
      <c r="AT76" s="1"/>
    </row>
    <row r="78" spans="1:46" ht="41.25" customHeight="1" x14ac:dyDescent="0.25"/>
    <row r="84" spans="20:20" x14ac:dyDescent="0.25">
      <c r="T84" s="4" t="s">
        <v>458</v>
      </c>
    </row>
  </sheetData>
  <mergeCells count="7">
    <mergeCell ref="A3:A4"/>
    <mergeCell ref="B3:B4"/>
    <mergeCell ref="G2:K2"/>
    <mergeCell ref="C3:C4"/>
    <mergeCell ref="D3:D4"/>
    <mergeCell ref="E3:E4"/>
    <mergeCell ref="F3:F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42C8D-5710-4CE5-A92D-6CFA1DC24B6F}">
  <dimension ref="A1:AI10"/>
  <sheetViews>
    <sheetView workbookViewId="0">
      <selection activeCell="I22" sqref="I22"/>
    </sheetView>
  </sheetViews>
  <sheetFormatPr defaultRowHeight="15" x14ac:dyDescent="0.25"/>
  <cols>
    <col min="2" max="2" width="19.5703125" customWidth="1"/>
    <col min="3" max="5" width="22.28515625" customWidth="1"/>
    <col min="6" max="38" width="13.7109375" customWidth="1"/>
    <col min="41" max="48" width="13.7109375" customWidth="1"/>
  </cols>
  <sheetData>
    <row r="1" spans="1:35" ht="15.75" thickBot="1" x14ac:dyDescent="0.3"/>
    <row r="2" spans="1:35" ht="17.25" thickTop="1" thickBot="1" x14ac:dyDescent="0.3">
      <c r="A2" s="1"/>
      <c r="B2" s="1"/>
      <c r="C2" s="1"/>
      <c r="D2" s="1"/>
      <c r="E2" s="1"/>
      <c r="F2" s="127">
        <v>46023</v>
      </c>
      <c r="G2" s="128"/>
    </row>
    <row r="3" spans="1:35" ht="16.5" thickTop="1" x14ac:dyDescent="0.25">
      <c r="A3" s="1"/>
      <c r="B3" s="1"/>
      <c r="C3" s="1"/>
      <c r="D3" s="1"/>
      <c r="E3" s="1"/>
      <c r="F3" s="17" t="s">
        <v>4</v>
      </c>
      <c r="G3" s="17" t="s">
        <v>430</v>
      </c>
    </row>
    <row r="4" spans="1:35" ht="15.75" x14ac:dyDescent="0.25">
      <c r="A4" s="5" t="s">
        <v>0</v>
      </c>
      <c r="B4" s="5" t="s">
        <v>454</v>
      </c>
      <c r="C4" s="5" t="s">
        <v>455</v>
      </c>
      <c r="D4" s="5" t="s">
        <v>599</v>
      </c>
      <c r="E4" s="5" t="s">
        <v>600</v>
      </c>
      <c r="F4" s="5" t="s">
        <v>7</v>
      </c>
      <c r="G4" s="5" t="s">
        <v>6</v>
      </c>
    </row>
    <row r="5" spans="1:35" ht="15.75" x14ac:dyDescent="0.25">
      <c r="A5" s="12">
        <v>1</v>
      </c>
      <c r="B5" s="43" t="s">
        <v>456</v>
      </c>
      <c r="C5" s="43" t="s">
        <v>457</v>
      </c>
      <c r="D5" s="43" t="s">
        <v>9</v>
      </c>
      <c r="E5" s="43" t="s">
        <v>387</v>
      </c>
      <c r="F5" s="44">
        <v>264000</v>
      </c>
      <c r="G5" s="44">
        <v>293000</v>
      </c>
    </row>
    <row r="6" spans="1:35" ht="15.75" x14ac:dyDescent="0.25">
      <c r="A6" s="12">
        <f t="shared" ref="A6" si="0">A5+1</f>
        <v>2</v>
      </c>
      <c r="B6" s="43" t="s">
        <v>457</v>
      </c>
      <c r="C6" s="43" t="s">
        <v>456</v>
      </c>
      <c r="D6" s="43" t="s">
        <v>638</v>
      </c>
      <c r="E6" s="43" t="s">
        <v>464</v>
      </c>
      <c r="F6" s="44">
        <v>264000</v>
      </c>
      <c r="G6" s="44">
        <v>293000</v>
      </c>
    </row>
    <row r="10" spans="1:35" x14ac:dyDescent="0.25">
      <c r="G10" t="s">
        <v>458</v>
      </c>
      <c r="I10" t="s">
        <v>458</v>
      </c>
      <c r="K10" t="s">
        <v>458</v>
      </c>
      <c r="M10" t="s">
        <v>458</v>
      </c>
      <c r="O10" t="s">
        <v>458</v>
      </c>
      <c r="Q10" t="s">
        <v>458</v>
      </c>
      <c r="S10" t="s">
        <v>458</v>
      </c>
      <c r="U10" t="s">
        <v>458</v>
      </c>
      <c r="W10" t="s">
        <v>458</v>
      </c>
      <c r="Y10" t="s">
        <v>458</v>
      </c>
      <c r="AA10" t="s">
        <v>458</v>
      </c>
      <c r="AC10" t="s">
        <v>458</v>
      </c>
      <c r="AE10" t="s">
        <v>458</v>
      </c>
      <c r="AG10" t="s">
        <v>458</v>
      </c>
      <c r="AI10" t="s">
        <v>458</v>
      </c>
    </row>
  </sheetData>
  <mergeCells count="1">
    <mergeCell ref="F2: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64F5D-10A4-4970-AEE2-092405CD9664}">
  <sheetPr>
    <tabColor rgb="FFFFC000"/>
  </sheetPr>
  <dimension ref="A1:AT206"/>
  <sheetViews>
    <sheetView tabSelected="1" zoomScale="115" zoomScaleNormal="115" workbookViewId="0">
      <pane xSplit="2" ySplit="3" topLeftCell="C4" activePane="bottomRight" state="frozen"/>
      <selection activeCell="CO62" sqref="CO62"/>
      <selection pane="topRight" activeCell="CO62" sqref="CO62"/>
      <selection pane="bottomLeft" activeCell="CO62" sqref="CO62"/>
      <selection pane="bottomRight" activeCell="E24" sqref="E24"/>
    </sheetView>
  </sheetViews>
  <sheetFormatPr defaultRowHeight="15.75" x14ac:dyDescent="0.25"/>
  <cols>
    <col min="1" max="1" width="9.140625" style="2"/>
    <col min="2" max="2" width="20.5703125" style="2" customWidth="1"/>
    <col min="3" max="5" width="21.140625" style="3" customWidth="1"/>
    <col min="6" max="6" width="11.7109375" style="4" bestFit="1" customWidth="1"/>
    <col min="7" max="7" width="9.85546875" style="4" bestFit="1" customWidth="1"/>
    <col min="8" max="8" width="11.5703125" style="4" bestFit="1" customWidth="1"/>
    <col min="9" max="9" width="14" style="4" bestFit="1" customWidth="1"/>
    <col min="10" max="10" width="15.140625" style="4" bestFit="1" customWidth="1"/>
    <col min="11" max="11" width="10.85546875" style="1" bestFit="1" customWidth="1"/>
    <col min="12" max="12" width="11.7109375" style="4" bestFit="1" customWidth="1"/>
    <col min="13" max="13" width="9.85546875" style="4" bestFit="1" customWidth="1"/>
    <col min="14" max="14" width="11.5703125" style="4" bestFit="1" customWidth="1"/>
    <col min="15" max="15" width="14" style="4" bestFit="1" customWidth="1"/>
    <col min="16" max="16" width="15.140625" style="4" bestFit="1" customWidth="1"/>
    <col min="17" max="17" width="10.85546875" style="1" bestFit="1" customWidth="1"/>
    <col min="18" max="18" width="11.7109375" style="4" bestFit="1" customWidth="1"/>
    <col min="19" max="19" width="9.85546875" style="4" bestFit="1" customWidth="1"/>
    <col min="20" max="20" width="11.5703125" style="4" bestFit="1" customWidth="1"/>
    <col min="21" max="21" width="14" style="4" bestFit="1" customWidth="1"/>
    <col min="22" max="22" width="15.140625" style="4" bestFit="1" customWidth="1"/>
    <col min="23" max="23" width="10.85546875" style="1" bestFit="1" customWidth="1"/>
    <col min="24" max="24" width="11.7109375" style="4" bestFit="1" customWidth="1"/>
    <col min="25" max="25" width="9.85546875" style="4" bestFit="1" customWidth="1"/>
    <col min="26" max="26" width="11.5703125" style="4" bestFit="1" customWidth="1"/>
    <col min="27" max="27" width="14" style="4" bestFit="1" customWidth="1"/>
    <col min="28" max="28" width="15.140625" style="4" bestFit="1" customWidth="1"/>
    <col min="29" max="29" width="10.85546875" style="1" bestFit="1" customWidth="1"/>
    <col min="30" max="30" width="11.7109375" style="4" bestFit="1" customWidth="1"/>
    <col min="31" max="31" width="9.85546875" style="4" bestFit="1" customWidth="1"/>
    <col min="32" max="32" width="11.5703125" style="4" bestFit="1" customWidth="1"/>
    <col min="33" max="33" width="14" style="4" bestFit="1" customWidth="1"/>
    <col min="34" max="34" width="15.140625" style="4" bestFit="1" customWidth="1"/>
    <col min="35" max="35" width="12.42578125" style="1" customWidth="1"/>
    <col min="36" max="41" width="13.7109375" style="1" customWidth="1"/>
    <col min="42" max="42" width="11.7109375" style="4" bestFit="1" customWidth="1"/>
    <col min="43" max="43" width="9.85546875" style="4" bestFit="1" customWidth="1"/>
    <col min="44" max="44" width="11.5703125" style="4" bestFit="1" customWidth="1"/>
    <col min="45" max="45" width="14" style="4" bestFit="1" customWidth="1"/>
    <col min="46" max="46" width="15.140625" style="4" bestFit="1" customWidth="1"/>
    <col min="47" max="47" width="12.42578125" style="1" customWidth="1"/>
    <col min="48" max="278" width="13.7109375" style="1" customWidth="1"/>
    <col min="279" max="16384" width="9.140625" style="1"/>
  </cols>
  <sheetData>
    <row r="1" spans="1:46" x14ac:dyDescent="0.25">
      <c r="A1" s="1"/>
      <c r="B1" s="1"/>
      <c r="C1" s="1"/>
      <c r="D1" s="1"/>
      <c r="E1" s="1"/>
      <c r="F1" s="113" t="s">
        <v>427</v>
      </c>
      <c r="G1" s="114"/>
      <c r="H1" s="114"/>
      <c r="I1" s="114"/>
      <c r="J1" s="114"/>
      <c r="K1" s="114"/>
      <c r="L1" s="1"/>
      <c r="M1" s="1"/>
      <c r="N1" s="1"/>
      <c r="O1" s="1"/>
      <c r="P1" s="1"/>
      <c r="R1" s="1"/>
      <c r="S1" s="1"/>
      <c r="T1" s="1"/>
      <c r="U1" s="1"/>
      <c r="V1" s="1"/>
      <c r="X1" s="1"/>
      <c r="Y1" s="1"/>
      <c r="Z1" s="1"/>
      <c r="AA1" s="1"/>
      <c r="AB1" s="1"/>
      <c r="AD1" s="1"/>
      <c r="AE1" s="1"/>
      <c r="AF1" s="1"/>
      <c r="AG1" s="1"/>
      <c r="AH1" s="1"/>
      <c r="AP1" s="1"/>
      <c r="AQ1" s="1"/>
      <c r="AR1" s="1"/>
      <c r="AS1" s="1"/>
      <c r="AT1" s="1"/>
    </row>
    <row r="2" spans="1:46" x14ac:dyDescent="0.25">
      <c r="A2" s="115" t="s">
        <v>0</v>
      </c>
      <c r="B2" s="129" t="s">
        <v>599</v>
      </c>
      <c r="C2" s="129" t="s">
        <v>600</v>
      </c>
      <c r="D2" s="129" t="s">
        <v>639</v>
      </c>
      <c r="E2" s="129" t="s">
        <v>637</v>
      </c>
      <c r="F2" s="17" t="s">
        <v>279</v>
      </c>
      <c r="G2" s="24" t="s">
        <v>467</v>
      </c>
      <c r="H2" s="17" t="s">
        <v>280</v>
      </c>
      <c r="I2" s="17" t="s">
        <v>281</v>
      </c>
      <c r="J2" s="17" t="s">
        <v>282</v>
      </c>
      <c r="K2" s="54" t="s">
        <v>283</v>
      </c>
      <c r="L2" s="1"/>
      <c r="M2" s="1"/>
      <c r="N2" s="1"/>
      <c r="O2" s="1"/>
      <c r="P2" s="1"/>
      <c r="R2" s="1"/>
      <c r="S2" s="1"/>
      <c r="T2" s="1"/>
      <c r="U2" s="1"/>
      <c r="V2" s="1"/>
      <c r="X2" s="1"/>
      <c r="Y2" s="1"/>
      <c r="Z2" s="1"/>
      <c r="AA2" s="1"/>
      <c r="AB2" s="1"/>
      <c r="AD2" s="1"/>
      <c r="AE2" s="1"/>
      <c r="AF2" s="1"/>
      <c r="AG2" s="1"/>
      <c r="AH2" s="1"/>
      <c r="AP2" s="1"/>
      <c r="AQ2" s="1"/>
      <c r="AR2" s="1"/>
      <c r="AS2" s="1"/>
      <c r="AT2" s="1"/>
    </row>
    <row r="3" spans="1:46" x14ac:dyDescent="0.25">
      <c r="A3" s="115"/>
      <c r="B3" s="130"/>
      <c r="C3" s="130"/>
      <c r="D3" s="130"/>
      <c r="E3" s="130"/>
      <c r="F3" s="5" t="s">
        <v>6</v>
      </c>
      <c r="G3" s="5" t="s">
        <v>7</v>
      </c>
      <c r="H3" s="5" t="s">
        <v>7</v>
      </c>
      <c r="I3" s="5" t="s">
        <v>7</v>
      </c>
      <c r="J3" s="5" t="s">
        <v>7</v>
      </c>
      <c r="K3" s="5" t="s">
        <v>7</v>
      </c>
      <c r="L3" s="1"/>
      <c r="M3" s="1"/>
      <c r="N3" s="1"/>
      <c r="O3" s="1"/>
      <c r="P3" s="1"/>
      <c r="R3" s="1"/>
      <c r="S3" s="1"/>
      <c r="T3" s="1"/>
      <c r="U3" s="1"/>
      <c r="V3" s="1"/>
      <c r="X3" s="1"/>
      <c r="Y3" s="1"/>
      <c r="Z3" s="1"/>
      <c r="AA3" s="1"/>
      <c r="AB3" s="1"/>
      <c r="AD3" s="1"/>
      <c r="AE3" s="1"/>
      <c r="AF3" s="1"/>
      <c r="AG3" s="1"/>
      <c r="AH3" s="1"/>
      <c r="AP3" s="1"/>
      <c r="AQ3" s="1"/>
      <c r="AR3" s="1"/>
      <c r="AS3" s="1"/>
      <c r="AT3" s="1"/>
    </row>
    <row r="4" spans="1:46" x14ac:dyDescent="0.25">
      <c r="A4" s="6">
        <v>1</v>
      </c>
      <c r="B4" s="6" t="s">
        <v>27</v>
      </c>
      <c r="C4" s="15" t="s">
        <v>284</v>
      </c>
      <c r="D4" s="15"/>
      <c r="E4" s="15"/>
      <c r="F4" s="55">
        <v>0</v>
      </c>
      <c r="G4" s="55">
        <v>0</v>
      </c>
      <c r="H4" s="55">
        <v>438000</v>
      </c>
      <c r="I4" s="55">
        <v>352000</v>
      </c>
      <c r="J4" s="55">
        <v>302000</v>
      </c>
      <c r="K4" s="55">
        <v>522000</v>
      </c>
      <c r="L4" s="1"/>
      <c r="M4" s="1"/>
      <c r="N4" s="1"/>
      <c r="O4" s="1"/>
      <c r="P4" s="1"/>
      <c r="R4" s="1"/>
      <c r="S4" s="1"/>
      <c r="T4" s="1"/>
      <c r="U4" s="1"/>
      <c r="V4" s="1"/>
      <c r="X4" s="1"/>
      <c r="Y4" s="1"/>
      <c r="Z4" s="1"/>
      <c r="AA4" s="1"/>
      <c r="AB4" s="1"/>
      <c r="AD4" s="1"/>
      <c r="AE4" s="1"/>
      <c r="AF4" s="1"/>
      <c r="AG4" s="1"/>
      <c r="AH4" s="1"/>
      <c r="AP4" s="1"/>
      <c r="AQ4" s="1"/>
      <c r="AR4" s="1"/>
      <c r="AS4" s="1"/>
      <c r="AT4" s="1"/>
    </row>
    <row r="5" spans="1:46" x14ac:dyDescent="0.25">
      <c r="A5" s="9">
        <f t="shared" ref="A5:A68" si="0">A4+1</f>
        <v>2</v>
      </c>
      <c r="B5" s="9" t="s">
        <v>27</v>
      </c>
      <c r="C5" s="21" t="s">
        <v>44</v>
      </c>
      <c r="D5" s="21"/>
      <c r="E5" s="21"/>
      <c r="F5" s="56">
        <v>0</v>
      </c>
      <c r="G5" s="56">
        <v>0</v>
      </c>
      <c r="H5" s="56">
        <v>468000</v>
      </c>
      <c r="I5" s="56">
        <v>438000</v>
      </c>
      <c r="J5" s="56">
        <v>372000</v>
      </c>
      <c r="K5" s="56">
        <v>583000</v>
      </c>
      <c r="L5" s="1"/>
      <c r="M5" s="1"/>
      <c r="N5" s="1"/>
      <c r="O5" s="1"/>
      <c r="P5" s="1"/>
      <c r="R5" s="1"/>
      <c r="S5" s="1"/>
      <c r="T5" s="1"/>
      <c r="U5" s="1"/>
      <c r="V5" s="1"/>
      <c r="X5" s="1"/>
      <c r="Y5" s="1"/>
      <c r="Z5" s="1"/>
      <c r="AA5" s="1"/>
      <c r="AB5" s="1"/>
      <c r="AD5" s="1"/>
      <c r="AE5" s="1"/>
      <c r="AF5" s="1"/>
      <c r="AG5" s="1"/>
      <c r="AH5" s="1"/>
      <c r="AP5" s="1"/>
      <c r="AQ5" s="1"/>
      <c r="AR5" s="1"/>
      <c r="AS5" s="1"/>
      <c r="AT5" s="1"/>
    </row>
    <row r="6" spans="1:46" x14ac:dyDescent="0.25">
      <c r="A6" s="9">
        <f t="shared" si="0"/>
        <v>3</v>
      </c>
      <c r="B6" s="9" t="s">
        <v>27</v>
      </c>
      <c r="C6" s="21" t="s">
        <v>359</v>
      </c>
      <c r="D6" s="21"/>
      <c r="E6" s="21"/>
      <c r="F6" s="56">
        <v>0</v>
      </c>
      <c r="G6" s="56">
        <v>0</v>
      </c>
      <c r="H6" s="56">
        <v>483000</v>
      </c>
      <c r="I6" s="56">
        <v>422000</v>
      </c>
      <c r="J6" s="56">
        <v>402000</v>
      </c>
      <c r="K6" s="56">
        <v>623000</v>
      </c>
      <c r="L6" s="1"/>
      <c r="M6" s="1"/>
      <c r="N6" s="1"/>
      <c r="O6" s="1"/>
      <c r="P6" s="1"/>
      <c r="R6" s="1"/>
      <c r="S6" s="1"/>
      <c r="T6" s="1"/>
      <c r="U6" s="1"/>
      <c r="V6" s="1"/>
      <c r="X6" s="1"/>
      <c r="Y6" s="1"/>
      <c r="Z6" s="1"/>
      <c r="AA6" s="1"/>
      <c r="AB6" s="1"/>
      <c r="AD6" s="1"/>
      <c r="AE6" s="1"/>
      <c r="AF6" s="1"/>
      <c r="AG6" s="1"/>
      <c r="AH6" s="1"/>
      <c r="AP6" s="1"/>
      <c r="AQ6" s="1"/>
      <c r="AR6" s="1"/>
      <c r="AS6" s="1"/>
      <c r="AT6" s="1"/>
    </row>
    <row r="7" spans="1:46" x14ac:dyDescent="0.25">
      <c r="A7" s="9">
        <f t="shared" si="0"/>
        <v>4</v>
      </c>
      <c r="B7" s="9" t="s">
        <v>27</v>
      </c>
      <c r="C7" s="21" t="s">
        <v>376</v>
      </c>
      <c r="D7" s="21"/>
      <c r="E7" s="21"/>
      <c r="F7" s="56">
        <v>0</v>
      </c>
      <c r="G7" s="56">
        <v>0</v>
      </c>
      <c r="H7" s="56">
        <v>1206000</v>
      </c>
      <c r="I7" s="56">
        <v>1156000</v>
      </c>
      <c r="J7" s="56">
        <v>1091000</v>
      </c>
      <c r="K7" s="56">
        <v>0</v>
      </c>
      <c r="L7" s="1"/>
      <c r="M7" s="1"/>
      <c r="N7" s="1"/>
      <c r="O7" s="1"/>
      <c r="P7" s="1"/>
      <c r="R7" s="1"/>
      <c r="S7" s="1"/>
      <c r="T7" s="1"/>
      <c r="U7" s="1"/>
      <c r="V7" s="1"/>
      <c r="X7" s="1"/>
      <c r="Y7" s="1"/>
      <c r="Z7" s="1"/>
      <c r="AA7" s="1"/>
      <c r="AB7" s="1"/>
      <c r="AD7" s="1"/>
      <c r="AE7" s="1"/>
      <c r="AF7" s="1"/>
      <c r="AG7" s="1"/>
      <c r="AH7" s="1"/>
      <c r="AP7" s="1"/>
      <c r="AQ7" s="1"/>
      <c r="AR7" s="1"/>
      <c r="AS7" s="1"/>
      <c r="AT7" s="1"/>
    </row>
    <row r="8" spans="1:46" x14ac:dyDescent="0.25">
      <c r="A8" s="9">
        <f t="shared" si="0"/>
        <v>5</v>
      </c>
      <c r="B8" s="9" t="s">
        <v>27</v>
      </c>
      <c r="C8" s="21" t="s">
        <v>92</v>
      </c>
      <c r="D8" s="21"/>
      <c r="E8" s="21"/>
      <c r="F8" s="56">
        <v>0</v>
      </c>
      <c r="G8" s="56">
        <v>0</v>
      </c>
      <c r="H8" s="56">
        <v>533000</v>
      </c>
      <c r="I8" s="56">
        <v>483000</v>
      </c>
      <c r="J8" s="56">
        <v>452000</v>
      </c>
      <c r="K8" s="56">
        <v>684000</v>
      </c>
      <c r="L8" s="1"/>
      <c r="M8" s="1"/>
      <c r="N8" s="1"/>
      <c r="O8" s="1"/>
      <c r="P8" s="1"/>
      <c r="R8" s="1"/>
      <c r="S8" s="1"/>
      <c r="T8" s="1"/>
      <c r="U8" s="1"/>
      <c r="V8" s="1"/>
      <c r="X8" s="1"/>
      <c r="Y8" s="1"/>
      <c r="Z8" s="1"/>
      <c r="AA8" s="1"/>
      <c r="AB8" s="1"/>
      <c r="AD8" s="1"/>
      <c r="AE8" s="1"/>
      <c r="AF8" s="1"/>
      <c r="AG8" s="1"/>
      <c r="AH8" s="1"/>
      <c r="AP8" s="1"/>
      <c r="AQ8" s="1"/>
      <c r="AR8" s="1"/>
      <c r="AS8" s="1"/>
      <c r="AT8" s="1"/>
    </row>
    <row r="9" spans="1:46" x14ac:dyDescent="0.25">
      <c r="A9" s="9">
        <f t="shared" si="0"/>
        <v>6</v>
      </c>
      <c r="B9" s="9" t="s">
        <v>27</v>
      </c>
      <c r="C9" s="21" t="s">
        <v>374</v>
      </c>
      <c r="D9" s="21"/>
      <c r="E9" s="21"/>
      <c r="F9" s="56">
        <v>0</v>
      </c>
      <c r="G9" s="56">
        <v>0</v>
      </c>
      <c r="H9" s="56">
        <v>483000</v>
      </c>
      <c r="I9" s="56">
        <v>422000</v>
      </c>
      <c r="J9" s="56">
        <v>402000</v>
      </c>
      <c r="K9" s="56">
        <v>623000</v>
      </c>
      <c r="L9" s="1"/>
      <c r="M9" s="1"/>
      <c r="N9" s="1"/>
      <c r="O9" s="1"/>
      <c r="P9" s="1"/>
      <c r="R9" s="1"/>
      <c r="S9" s="1"/>
      <c r="T9" s="1"/>
      <c r="U9" s="1"/>
      <c r="V9" s="1"/>
      <c r="X9" s="1"/>
      <c r="Y9" s="1"/>
      <c r="Z9" s="1"/>
      <c r="AA9" s="1"/>
      <c r="AB9" s="1"/>
      <c r="AD9" s="1"/>
      <c r="AE9" s="1"/>
      <c r="AF9" s="1"/>
      <c r="AG9" s="1"/>
      <c r="AH9" s="1"/>
      <c r="AP9" s="1"/>
      <c r="AQ9" s="1"/>
      <c r="AR9" s="1"/>
      <c r="AS9" s="1"/>
      <c r="AT9" s="1"/>
    </row>
    <row r="10" spans="1:46" x14ac:dyDescent="0.25">
      <c r="A10" s="9">
        <f t="shared" si="0"/>
        <v>7</v>
      </c>
      <c r="B10" s="9" t="s">
        <v>27</v>
      </c>
      <c r="C10" s="21" t="s">
        <v>375</v>
      </c>
      <c r="D10" s="21"/>
      <c r="E10" s="21"/>
      <c r="F10" s="56">
        <v>0</v>
      </c>
      <c r="G10" s="56">
        <v>0</v>
      </c>
      <c r="H10" s="56">
        <v>483000</v>
      </c>
      <c r="I10" s="56">
        <v>422000</v>
      </c>
      <c r="J10" s="56">
        <v>402000</v>
      </c>
      <c r="K10" s="56">
        <v>623000</v>
      </c>
      <c r="L10" s="1"/>
      <c r="M10" s="1"/>
      <c r="N10" s="1"/>
      <c r="O10" s="1"/>
      <c r="P10" s="1"/>
      <c r="R10" s="1"/>
      <c r="S10" s="1"/>
      <c r="T10" s="1"/>
      <c r="U10" s="1"/>
      <c r="V10" s="1"/>
      <c r="X10" s="1"/>
      <c r="Y10" s="1"/>
      <c r="Z10" s="1"/>
      <c r="AA10" s="1"/>
      <c r="AB10" s="1"/>
      <c r="AD10" s="1"/>
      <c r="AE10" s="1"/>
      <c r="AF10" s="1"/>
      <c r="AG10" s="1"/>
      <c r="AH10" s="1"/>
      <c r="AP10" s="1"/>
      <c r="AQ10" s="1"/>
      <c r="AR10" s="1"/>
      <c r="AS10" s="1"/>
      <c r="AT10" s="1"/>
    </row>
    <row r="11" spans="1:46" x14ac:dyDescent="0.25">
      <c r="A11" s="9">
        <f t="shared" si="0"/>
        <v>8</v>
      </c>
      <c r="B11" s="9" t="s">
        <v>32</v>
      </c>
      <c r="C11" s="21" t="s">
        <v>284</v>
      </c>
      <c r="D11" s="21"/>
      <c r="E11" s="21"/>
      <c r="F11" s="56">
        <v>0</v>
      </c>
      <c r="G11" s="56">
        <v>0</v>
      </c>
      <c r="H11" s="56">
        <v>563000</v>
      </c>
      <c r="I11" s="56">
        <v>522000</v>
      </c>
      <c r="J11" s="56">
        <v>443000</v>
      </c>
      <c r="K11" s="56">
        <v>723000</v>
      </c>
      <c r="L11" s="1"/>
      <c r="M11" s="1"/>
      <c r="N11" s="1"/>
      <c r="O11" s="1"/>
      <c r="P11" s="1"/>
      <c r="R11" s="1"/>
      <c r="S11" s="1"/>
      <c r="T11" s="1"/>
      <c r="U11" s="1"/>
      <c r="V11" s="1"/>
      <c r="X11" s="1"/>
      <c r="Y11" s="1"/>
      <c r="Z11" s="1"/>
      <c r="AA11" s="1"/>
      <c r="AB11" s="1"/>
      <c r="AD11" s="1"/>
      <c r="AE11" s="1"/>
      <c r="AF11" s="1"/>
      <c r="AG11" s="1"/>
      <c r="AH11" s="1"/>
      <c r="AP11" s="1"/>
      <c r="AQ11" s="1"/>
      <c r="AR11" s="1"/>
      <c r="AS11" s="1"/>
      <c r="AT11" s="1"/>
    </row>
    <row r="12" spans="1:46" x14ac:dyDescent="0.25">
      <c r="A12" s="9">
        <f t="shared" si="0"/>
        <v>9</v>
      </c>
      <c r="B12" s="9" t="s">
        <v>32</v>
      </c>
      <c r="C12" s="21" t="s">
        <v>22</v>
      </c>
      <c r="D12" s="21"/>
      <c r="E12" s="21"/>
      <c r="F12" s="56">
        <v>0</v>
      </c>
      <c r="G12" s="56">
        <v>0</v>
      </c>
      <c r="H12" s="56">
        <v>543000</v>
      </c>
      <c r="I12" s="56">
        <v>0</v>
      </c>
      <c r="J12" s="56">
        <v>422000</v>
      </c>
      <c r="K12" s="56">
        <v>653000</v>
      </c>
      <c r="L12" s="1"/>
      <c r="M12" s="1"/>
      <c r="N12" s="1"/>
      <c r="O12" s="1"/>
      <c r="P12" s="1"/>
      <c r="R12" s="1"/>
      <c r="S12" s="1"/>
      <c r="T12" s="1"/>
      <c r="U12" s="1"/>
      <c r="V12" s="1"/>
      <c r="X12" s="1"/>
      <c r="Y12" s="1"/>
      <c r="Z12" s="1"/>
      <c r="AA12" s="1"/>
      <c r="AB12" s="1"/>
      <c r="AD12" s="1"/>
      <c r="AE12" s="1"/>
      <c r="AF12" s="1"/>
      <c r="AG12" s="1"/>
      <c r="AH12" s="1"/>
      <c r="AP12" s="1"/>
      <c r="AQ12" s="1"/>
      <c r="AR12" s="1"/>
      <c r="AS12" s="1"/>
      <c r="AT12" s="1"/>
    </row>
    <row r="13" spans="1:46" x14ac:dyDescent="0.25">
      <c r="A13" s="9">
        <f t="shared" si="0"/>
        <v>10</v>
      </c>
      <c r="B13" s="9" t="s">
        <v>32</v>
      </c>
      <c r="C13" s="21" t="s">
        <v>293</v>
      </c>
      <c r="D13" s="21"/>
      <c r="E13" s="21"/>
      <c r="F13" s="56">
        <v>0</v>
      </c>
      <c r="G13" s="56">
        <v>0</v>
      </c>
      <c r="H13" s="56">
        <v>543000</v>
      </c>
      <c r="I13" s="56">
        <v>0</v>
      </c>
      <c r="J13" s="56">
        <v>422000</v>
      </c>
      <c r="K13" s="56">
        <v>653000</v>
      </c>
      <c r="L13" s="1"/>
      <c r="M13" s="1"/>
      <c r="N13" s="1"/>
      <c r="O13" s="1"/>
      <c r="P13" s="1"/>
      <c r="R13" s="1"/>
      <c r="S13" s="1"/>
      <c r="T13" s="1"/>
      <c r="U13" s="1"/>
      <c r="V13" s="1"/>
      <c r="X13" s="1"/>
      <c r="Y13" s="1"/>
      <c r="Z13" s="1"/>
      <c r="AA13" s="1"/>
      <c r="AB13" s="1"/>
      <c r="AD13" s="1"/>
      <c r="AE13" s="1"/>
      <c r="AF13" s="1"/>
      <c r="AG13" s="1"/>
      <c r="AH13" s="1"/>
      <c r="AP13" s="1"/>
      <c r="AQ13" s="1"/>
      <c r="AR13" s="1"/>
      <c r="AS13" s="1"/>
      <c r="AT13" s="1"/>
    </row>
    <row r="14" spans="1:46" x14ac:dyDescent="0.25">
      <c r="A14" s="9">
        <f t="shared" si="0"/>
        <v>11</v>
      </c>
      <c r="B14" s="9" t="s">
        <v>32</v>
      </c>
      <c r="C14" s="21" t="s">
        <v>62</v>
      </c>
      <c r="D14" s="21"/>
      <c r="E14" s="21"/>
      <c r="F14" s="56">
        <v>0</v>
      </c>
      <c r="G14" s="56">
        <v>0</v>
      </c>
      <c r="H14" s="56">
        <v>603000</v>
      </c>
      <c r="I14" s="56">
        <v>563000</v>
      </c>
      <c r="J14" s="56">
        <v>503000</v>
      </c>
      <c r="K14" s="56">
        <v>754000</v>
      </c>
      <c r="L14" s="1"/>
      <c r="M14" s="1"/>
      <c r="N14" s="1"/>
      <c r="O14" s="1"/>
      <c r="P14" s="1"/>
      <c r="R14" s="1"/>
      <c r="S14" s="1"/>
      <c r="T14" s="1"/>
      <c r="U14" s="1"/>
      <c r="V14" s="1"/>
      <c r="X14" s="1"/>
      <c r="Y14" s="1"/>
      <c r="Z14" s="1"/>
      <c r="AA14" s="1"/>
      <c r="AB14" s="1"/>
      <c r="AD14" s="1"/>
      <c r="AE14" s="1"/>
      <c r="AF14" s="1"/>
      <c r="AG14" s="1"/>
      <c r="AH14" s="1"/>
      <c r="AP14" s="1"/>
      <c r="AQ14" s="1"/>
      <c r="AR14" s="1"/>
      <c r="AS14" s="1"/>
      <c r="AT14" s="1"/>
    </row>
    <row r="15" spans="1:46" x14ac:dyDescent="0.25">
      <c r="A15" s="9">
        <f t="shared" si="0"/>
        <v>12</v>
      </c>
      <c r="B15" s="9" t="s">
        <v>20</v>
      </c>
      <c r="C15" s="21" t="s">
        <v>284</v>
      </c>
      <c r="D15" s="21"/>
      <c r="E15" s="21"/>
      <c r="F15" s="56">
        <v>0</v>
      </c>
      <c r="G15" s="56">
        <v>0</v>
      </c>
      <c r="H15" s="56">
        <v>372000</v>
      </c>
      <c r="I15" s="56">
        <v>342000</v>
      </c>
      <c r="J15" s="56">
        <v>302000</v>
      </c>
      <c r="K15" s="56">
        <v>483000</v>
      </c>
      <c r="L15" s="1"/>
      <c r="M15" s="1"/>
      <c r="N15" s="1"/>
      <c r="O15" s="1"/>
      <c r="P15" s="1"/>
      <c r="R15" s="1"/>
      <c r="S15" s="1"/>
      <c r="T15" s="1"/>
      <c r="U15" s="1"/>
      <c r="V15" s="1"/>
      <c r="X15" s="1"/>
      <c r="Y15" s="1"/>
      <c r="Z15" s="1"/>
      <c r="AA15" s="1"/>
      <c r="AB15" s="1"/>
      <c r="AD15" s="1"/>
      <c r="AE15" s="1"/>
      <c r="AF15" s="1"/>
      <c r="AG15" s="1"/>
      <c r="AH15" s="1"/>
      <c r="AP15" s="1"/>
      <c r="AQ15" s="1"/>
      <c r="AR15" s="1"/>
      <c r="AS15" s="1"/>
      <c r="AT15" s="1"/>
    </row>
    <row r="16" spans="1:46" x14ac:dyDescent="0.25">
      <c r="A16" s="9">
        <f t="shared" si="0"/>
        <v>13</v>
      </c>
      <c r="B16" s="9" t="s">
        <v>20</v>
      </c>
      <c r="C16" s="21" t="s">
        <v>407</v>
      </c>
      <c r="D16" s="21"/>
      <c r="E16" s="21"/>
      <c r="F16" s="56">
        <v>0</v>
      </c>
      <c r="G16" s="56">
        <v>0</v>
      </c>
      <c r="H16" s="56">
        <v>463000</v>
      </c>
      <c r="I16" s="56">
        <v>432000</v>
      </c>
      <c r="J16" s="56">
        <v>382000</v>
      </c>
      <c r="K16" s="56">
        <v>543000</v>
      </c>
      <c r="L16" s="1"/>
      <c r="M16" s="1"/>
      <c r="N16" s="1"/>
      <c r="O16" s="1"/>
      <c r="P16" s="1"/>
      <c r="R16" s="1"/>
      <c r="S16" s="1"/>
      <c r="T16" s="1"/>
      <c r="U16" s="1"/>
      <c r="V16" s="1"/>
      <c r="X16" s="1"/>
      <c r="Y16" s="1"/>
      <c r="Z16" s="1"/>
      <c r="AA16" s="1"/>
      <c r="AB16" s="1"/>
      <c r="AD16" s="1"/>
      <c r="AE16" s="1"/>
      <c r="AF16" s="1"/>
      <c r="AG16" s="1"/>
      <c r="AH16" s="1"/>
      <c r="AP16" s="1"/>
      <c r="AQ16" s="1"/>
      <c r="AR16" s="1"/>
      <c r="AS16" s="1"/>
      <c r="AT16" s="1"/>
    </row>
    <row r="17" spans="1:46" x14ac:dyDescent="0.25">
      <c r="A17" s="9">
        <f t="shared" si="0"/>
        <v>14</v>
      </c>
      <c r="B17" s="9" t="s">
        <v>20</v>
      </c>
      <c r="C17" s="21" t="s">
        <v>359</v>
      </c>
      <c r="D17" s="21"/>
      <c r="E17" s="21"/>
      <c r="F17" s="56">
        <v>0</v>
      </c>
      <c r="G17" s="56">
        <v>0</v>
      </c>
      <c r="H17" s="56">
        <v>402000</v>
      </c>
      <c r="I17" s="56">
        <v>372000</v>
      </c>
      <c r="J17" s="56">
        <v>355000</v>
      </c>
      <c r="K17" s="56">
        <v>493000</v>
      </c>
      <c r="L17" s="1"/>
      <c r="M17" s="1"/>
      <c r="N17" s="1"/>
      <c r="O17" s="1"/>
      <c r="P17" s="1"/>
      <c r="R17" s="1"/>
      <c r="S17" s="1"/>
      <c r="T17" s="1"/>
      <c r="U17" s="1"/>
      <c r="V17" s="1"/>
      <c r="X17" s="1"/>
      <c r="Y17" s="1"/>
      <c r="Z17" s="1"/>
      <c r="AA17" s="1"/>
      <c r="AB17" s="1"/>
      <c r="AD17" s="1"/>
      <c r="AE17" s="1"/>
      <c r="AF17" s="1"/>
      <c r="AG17" s="1"/>
      <c r="AH17" s="1"/>
      <c r="AP17" s="1"/>
      <c r="AQ17" s="1"/>
      <c r="AR17" s="1"/>
      <c r="AS17" s="1"/>
      <c r="AT17" s="1"/>
    </row>
    <row r="18" spans="1:46" x14ac:dyDescent="0.25">
      <c r="A18" s="9">
        <f t="shared" si="0"/>
        <v>15</v>
      </c>
      <c r="B18" s="9" t="s">
        <v>20</v>
      </c>
      <c r="C18" s="21" t="s">
        <v>63</v>
      </c>
      <c r="D18" s="21"/>
      <c r="E18" s="21"/>
      <c r="F18" s="56">
        <v>0</v>
      </c>
      <c r="G18" s="56">
        <v>0</v>
      </c>
      <c r="H18" s="56">
        <v>402000</v>
      </c>
      <c r="I18" s="56">
        <v>372000</v>
      </c>
      <c r="J18" s="56">
        <v>352000</v>
      </c>
      <c r="K18" s="56">
        <v>553000</v>
      </c>
      <c r="L18" s="1"/>
      <c r="M18" s="1"/>
      <c r="N18" s="1"/>
      <c r="O18" s="1"/>
      <c r="P18" s="1"/>
      <c r="R18" s="1"/>
      <c r="S18" s="1"/>
      <c r="T18" s="1"/>
      <c r="U18" s="1"/>
      <c r="V18" s="1"/>
      <c r="X18" s="1"/>
      <c r="Y18" s="1"/>
      <c r="Z18" s="1"/>
      <c r="AA18" s="1"/>
      <c r="AB18" s="1"/>
      <c r="AD18" s="1"/>
      <c r="AE18" s="1"/>
      <c r="AF18" s="1"/>
      <c r="AG18" s="1"/>
      <c r="AH18" s="1"/>
      <c r="AP18" s="1"/>
      <c r="AQ18" s="1"/>
      <c r="AR18" s="1"/>
      <c r="AS18" s="1"/>
      <c r="AT18" s="1"/>
    </row>
    <row r="19" spans="1:46" x14ac:dyDescent="0.25">
      <c r="A19" s="9">
        <f t="shared" si="0"/>
        <v>16</v>
      </c>
      <c r="B19" s="9" t="s">
        <v>20</v>
      </c>
      <c r="C19" s="21" t="s">
        <v>318</v>
      </c>
      <c r="D19" s="21"/>
      <c r="E19" s="21"/>
      <c r="F19" s="56">
        <v>0</v>
      </c>
      <c r="G19" s="56">
        <v>0</v>
      </c>
      <c r="H19" s="56">
        <v>463000</v>
      </c>
      <c r="I19" s="56">
        <v>432000</v>
      </c>
      <c r="J19" s="56">
        <v>382000</v>
      </c>
      <c r="K19" s="56">
        <v>543000</v>
      </c>
      <c r="L19" s="1"/>
      <c r="M19" s="1"/>
      <c r="N19" s="1"/>
      <c r="O19" s="1"/>
      <c r="P19" s="1"/>
      <c r="R19" s="1"/>
      <c r="S19" s="1"/>
      <c r="T19" s="1"/>
      <c r="U19" s="1"/>
      <c r="V19" s="1"/>
      <c r="X19" s="1"/>
      <c r="Y19" s="1"/>
      <c r="Z19" s="1"/>
      <c r="AA19" s="1"/>
      <c r="AB19" s="1"/>
      <c r="AD19" s="1"/>
      <c r="AE19" s="1"/>
      <c r="AF19" s="1"/>
      <c r="AG19" s="1"/>
      <c r="AH19" s="1"/>
      <c r="AP19" s="1"/>
      <c r="AQ19" s="1"/>
      <c r="AR19" s="1"/>
      <c r="AS19" s="1"/>
      <c r="AT19" s="1"/>
    </row>
    <row r="20" spans="1:46" x14ac:dyDescent="0.25">
      <c r="A20" s="9">
        <f t="shared" si="0"/>
        <v>17</v>
      </c>
      <c r="B20" s="9" t="s">
        <v>20</v>
      </c>
      <c r="C20" s="21" t="s">
        <v>333</v>
      </c>
      <c r="D20" s="21"/>
      <c r="E20" s="21"/>
      <c r="F20" s="56">
        <v>0</v>
      </c>
      <c r="G20" s="56">
        <v>0</v>
      </c>
      <c r="H20" s="56">
        <v>402000</v>
      </c>
      <c r="I20" s="56">
        <v>372000</v>
      </c>
      <c r="J20" s="56">
        <v>352000</v>
      </c>
      <c r="K20" s="56">
        <v>553000</v>
      </c>
      <c r="L20" s="1"/>
      <c r="M20" s="1"/>
      <c r="N20" s="1"/>
      <c r="O20" s="1"/>
      <c r="P20" s="1"/>
      <c r="R20" s="1"/>
      <c r="S20" s="1"/>
      <c r="T20" s="1"/>
      <c r="U20" s="1"/>
      <c r="V20" s="1"/>
      <c r="X20" s="1"/>
      <c r="Y20" s="1"/>
      <c r="Z20" s="1"/>
      <c r="AA20" s="1"/>
      <c r="AB20" s="1"/>
      <c r="AD20" s="1"/>
      <c r="AE20" s="1"/>
      <c r="AF20" s="1"/>
      <c r="AG20" s="1"/>
      <c r="AH20" s="1"/>
      <c r="AP20" s="1"/>
      <c r="AQ20" s="1"/>
      <c r="AR20" s="1"/>
      <c r="AS20" s="1"/>
      <c r="AT20" s="1"/>
    </row>
    <row r="21" spans="1:46" x14ac:dyDescent="0.25">
      <c r="A21" s="9">
        <f t="shared" si="0"/>
        <v>18</v>
      </c>
      <c r="B21" s="9" t="s">
        <v>20</v>
      </c>
      <c r="C21" s="21" t="s">
        <v>360</v>
      </c>
      <c r="D21" s="21"/>
      <c r="E21" s="21"/>
      <c r="F21" s="56">
        <v>0</v>
      </c>
      <c r="G21" s="56">
        <v>0</v>
      </c>
      <c r="H21" s="56">
        <v>402000</v>
      </c>
      <c r="I21" s="56">
        <v>372000</v>
      </c>
      <c r="J21" s="56">
        <v>355000</v>
      </c>
      <c r="K21" s="56">
        <v>493000</v>
      </c>
      <c r="L21" s="1"/>
      <c r="M21" s="1"/>
      <c r="N21" s="1"/>
      <c r="O21" s="1"/>
      <c r="P21" s="1"/>
      <c r="R21" s="1"/>
      <c r="S21" s="1"/>
      <c r="T21" s="1"/>
      <c r="U21" s="1"/>
      <c r="V21" s="1"/>
      <c r="X21" s="1"/>
      <c r="Y21" s="1"/>
      <c r="Z21" s="1"/>
      <c r="AA21" s="1"/>
      <c r="AB21" s="1"/>
      <c r="AD21" s="1"/>
      <c r="AE21" s="1"/>
      <c r="AF21" s="1"/>
      <c r="AG21" s="1"/>
      <c r="AH21" s="1"/>
      <c r="AP21" s="1"/>
      <c r="AQ21" s="1"/>
      <c r="AR21" s="1"/>
      <c r="AS21" s="1"/>
      <c r="AT21" s="1"/>
    </row>
    <row r="22" spans="1:46" x14ac:dyDescent="0.25">
      <c r="A22" s="9">
        <f t="shared" si="0"/>
        <v>19</v>
      </c>
      <c r="B22" s="9" t="s">
        <v>20</v>
      </c>
      <c r="C22" s="21" t="s">
        <v>361</v>
      </c>
      <c r="D22" s="21"/>
      <c r="E22" s="21"/>
      <c r="F22" s="56">
        <v>0</v>
      </c>
      <c r="G22" s="56">
        <v>0</v>
      </c>
      <c r="H22" s="56">
        <v>402000</v>
      </c>
      <c r="I22" s="56">
        <v>372000</v>
      </c>
      <c r="J22" s="56">
        <v>355000</v>
      </c>
      <c r="K22" s="56">
        <v>493000</v>
      </c>
      <c r="L22" s="1"/>
      <c r="M22" s="1"/>
      <c r="N22" s="1"/>
      <c r="O22" s="1"/>
      <c r="P22" s="1"/>
      <c r="R22" s="1"/>
      <c r="S22" s="1"/>
      <c r="T22" s="1"/>
      <c r="U22" s="1"/>
      <c r="V22" s="1"/>
      <c r="X22" s="1"/>
      <c r="Y22" s="1"/>
      <c r="Z22" s="1"/>
      <c r="AA22" s="1"/>
      <c r="AB22" s="1"/>
      <c r="AD22" s="1"/>
      <c r="AE22" s="1"/>
      <c r="AF22" s="1"/>
      <c r="AG22" s="1"/>
      <c r="AH22" s="1"/>
      <c r="AP22" s="1"/>
      <c r="AQ22" s="1"/>
      <c r="AR22" s="1"/>
      <c r="AS22" s="1"/>
      <c r="AT22" s="1"/>
    </row>
    <row r="23" spans="1:46" x14ac:dyDescent="0.25">
      <c r="A23" s="9">
        <f t="shared" si="0"/>
        <v>20</v>
      </c>
      <c r="B23" s="9" t="s">
        <v>20</v>
      </c>
      <c r="C23" s="21" t="s">
        <v>375</v>
      </c>
      <c r="D23" s="21"/>
      <c r="E23" s="21" t="s">
        <v>706</v>
      </c>
      <c r="F23" s="56">
        <v>0</v>
      </c>
      <c r="G23" s="56">
        <v>0</v>
      </c>
      <c r="H23" s="56">
        <v>0</v>
      </c>
      <c r="I23" s="56">
        <v>0</v>
      </c>
      <c r="J23" s="56">
        <v>0</v>
      </c>
      <c r="K23" s="56">
        <v>493000</v>
      </c>
      <c r="L23" s="1"/>
      <c r="M23" s="1"/>
      <c r="N23" s="1"/>
      <c r="O23" s="1"/>
      <c r="P23" s="1"/>
      <c r="R23" s="1"/>
      <c r="S23" s="1"/>
      <c r="T23" s="1"/>
      <c r="U23" s="1"/>
      <c r="V23" s="1"/>
      <c r="X23" s="1"/>
      <c r="Y23" s="1"/>
      <c r="Z23" s="1"/>
      <c r="AA23" s="1"/>
      <c r="AB23" s="1"/>
      <c r="AD23" s="1"/>
      <c r="AE23" s="1"/>
      <c r="AF23" s="1"/>
      <c r="AG23" s="1"/>
      <c r="AH23" s="1"/>
      <c r="AP23" s="1"/>
      <c r="AQ23" s="1"/>
      <c r="AR23" s="1"/>
      <c r="AS23" s="1"/>
      <c r="AT23" s="1"/>
    </row>
    <row r="24" spans="1:46" x14ac:dyDescent="0.25">
      <c r="A24" s="9">
        <f t="shared" si="0"/>
        <v>21</v>
      </c>
      <c r="B24" s="9" t="s">
        <v>20</v>
      </c>
      <c r="C24" s="21" t="s">
        <v>362</v>
      </c>
      <c r="D24" s="21"/>
      <c r="E24" s="21"/>
      <c r="F24" s="56">
        <v>0</v>
      </c>
      <c r="G24" s="56">
        <v>0</v>
      </c>
      <c r="H24" s="56">
        <v>402000</v>
      </c>
      <c r="I24" s="56">
        <v>372000</v>
      </c>
      <c r="J24" s="56">
        <v>355000</v>
      </c>
      <c r="K24" s="56">
        <v>493000</v>
      </c>
      <c r="L24" s="1"/>
      <c r="M24" s="1"/>
      <c r="N24" s="1"/>
      <c r="O24" s="1"/>
      <c r="P24" s="1"/>
      <c r="R24" s="1"/>
      <c r="S24" s="1"/>
      <c r="T24" s="1"/>
      <c r="U24" s="1"/>
      <c r="V24" s="1"/>
      <c r="X24" s="1"/>
      <c r="Y24" s="1"/>
      <c r="Z24" s="1"/>
      <c r="AA24" s="1"/>
      <c r="AB24" s="1"/>
      <c r="AD24" s="1"/>
      <c r="AE24" s="1"/>
      <c r="AF24" s="1"/>
      <c r="AG24" s="1"/>
      <c r="AH24" s="1"/>
      <c r="AP24" s="1"/>
      <c r="AQ24" s="1"/>
      <c r="AR24" s="1"/>
      <c r="AS24" s="1"/>
      <c r="AT24" s="1"/>
    </row>
    <row r="25" spans="1:46" x14ac:dyDescent="0.25">
      <c r="A25" s="9">
        <f t="shared" si="0"/>
        <v>22</v>
      </c>
      <c r="B25" s="9" t="s">
        <v>20</v>
      </c>
      <c r="C25" s="21" t="s">
        <v>64</v>
      </c>
      <c r="D25" s="21"/>
      <c r="E25" s="21"/>
      <c r="F25" s="56">
        <v>0</v>
      </c>
      <c r="G25" s="56">
        <v>0</v>
      </c>
      <c r="H25" s="56">
        <v>443000</v>
      </c>
      <c r="I25" s="56">
        <v>382000</v>
      </c>
      <c r="J25" s="56">
        <v>321000</v>
      </c>
      <c r="K25" s="56">
        <v>553000</v>
      </c>
      <c r="L25" s="1"/>
      <c r="M25" s="1"/>
      <c r="N25" s="1"/>
      <c r="O25" s="1"/>
      <c r="P25" s="1"/>
      <c r="R25" s="1"/>
      <c r="S25" s="1"/>
      <c r="T25" s="1"/>
      <c r="U25" s="1"/>
      <c r="V25" s="1"/>
      <c r="X25" s="1"/>
      <c r="Y25" s="1"/>
      <c r="Z25" s="1"/>
      <c r="AA25" s="1"/>
      <c r="AB25" s="1"/>
      <c r="AD25" s="1"/>
      <c r="AE25" s="1"/>
      <c r="AF25" s="1"/>
      <c r="AG25" s="1"/>
      <c r="AH25" s="1"/>
      <c r="AP25" s="1"/>
      <c r="AQ25" s="1"/>
      <c r="AR25" s="1"/>
      <c r="AS25" s="1"/>
      <c r="AT25" s="1"/>
    </row>
    <row r="26" spans="1:46" x14ac:dyDescent="0.25">
      <c r="A26" s="9">
        <f t="shared" si="0"/>
        <v>23</v>
      </c>
      <c r="B26" s="9" t="s">
        <v>20</v>
      </c>
      <c r="C26" s="21" t="s">
        <v>334</v>
      </c>
      <c r="D26" s="21"/>
      <c r="E26" s="21"/>
      <c r="F26" s="56">
        <v>0</v>
      </c>
      <c r="G26" s="56">
        <v>0</v>
      </c>
      <c r="H26" s="56">
        <v>443000</v>
      </c>
      <c r="I26" s="56">
        <v>382000</v>
      </c>
      <c r="J26" s="56">
        <v>321000</v>
      </c>
      <c r="K26" s="56">
        <v>553000</v>
      </c>
      <c r="L26" s="1"/>
      <c r="M26" s="1"/>
      <c r="N26" s="1"/>
      <c r="O26" s="1"/>
      <c r="P26" s="1"/>
      <c r="R26" s="1"/>
      <c r="S26" s="1"/>
      <c r="T26" s="1"/>
      <c r="U26" s="1"/>
      <c r="V26" s="1"/>
      <c r="X26" s="1"/>
      <c r="Y26" s="1"/>
      <c r="Z26" s="1"/>
      <c r="AA26" s="1"/>
      <c r="AB26" s="1"/>
      <c r="AD26" s="1"/>
      <c r="AE26" s="1"/>
      <c r="AF26" s="1"/>
      <c r="AG26" s="1"/>
      <c r="AH26" s="1"/>
      <c r="AP26" s="1"/>
      <c r="AQ26" s="1"/>
      <c r="AR26" s="1"/>
      <c r="AS26" s="1"/>
      <c r="AT26" s="1"/>
    </row>
    <row r="27" spans="1:46" x14ac:dyDescent="0.25">
      <c r="A27" s="9">
        <f t="shared" si="0"/>
        <v>24</v>
      </c>
      <c r="B27" s="9" t="s">
        <v>20</v>
      </c>
      <c r="C27" s="21" t="s">
        <v>335</v>
      </c>
      <c r="D27" s="21"/>
      <c r="E27" s="21"/>
      <c r="F27" s="56">
        <v>0</v>
      </c>
      <c r="G27" s="56">
        <v>0</v>
      </c>
      <c r="H27" s="56">
        <v>443000</v>
      </c>
      <c r="I27" s="56">
        <v>382000</v>
      </c>
      <c r="J27" s="56">
        <v>321000</v>
      </c>
      <c r="K27" s="56">
        <v>553000</v>
      </c>
      <c r="L27" s="1"/>
      <c r="M27" s="1"/>
      <c r="N27" s="1"/>
      <c r="O27" s="1"/>
      <c r="P27" s="1"/>
      <c r="R27" s="1"/>
      <c r="S27" s="1"/>
      <c r="T27" s="1"/>
      <c r="U27" s="1"/>
      <c r="V27" s="1"/>
      <c r="X27" s="1"/>
      <c r="Y27" s="1"/>
      <c r="Z27" s="1"/>
      <c r="AA27" s="1"/>
      <c r="AB27" s="1"/>
      <c r="AD27" s="1"/>
      <c r="AE27" s="1"/>
      <c r="AF27" s="1"/>
      <c r="AG27" s="1"/>
      <c r="AH27" s="1"/>
      <c r="AP27" s="1"/>
      <c r="AQ27" s="1"/>
      <c r="AR27" s="1"/>
      <c r="AS27" s="1"/>
      <c r="AT27" s="1"/>
    </row>
    <row r="28" spans="1:46" x14ac:dyDescent="0.25">
      <c r="A28" s="9">
        <f t="shared" si="0"/>
        <v>25</v>
      </c>
      <c r="B28" s="9" t="s">
        <v>20</v>
      </c>
      <c r="C28" s="21" t="s">
        <v>363</v>
      </c>
      <c r="D28" s="21"/>
      <c r="E28" s="21"/>
      <c r="F28" s="56">
        <v>0</v>
      </c>
      <c r="G28" s="56">
        <v>0</v>
      </c>
      <c r="H28" s="56">
        <v>402000</v>
      </c>
      <c r="I28" s="56">
        <v>372000</v>
      </c>
      <c r="J28" s="56">
        <v>355000</v>
      </c>
      <c r="K28" s="56">
        <v>493000</v>
      </c>
      <c r="L28" s="1"/>
      <c r="M28" s="1"/>
      <c r="N28" s="1"/>
      <c r="O28" s="1"/>
      <c r="P28" s="1"/>
      <c r="R28" s="1"/>
      <c r="S28" s="1"/>
      <c r="T28" s="1"/>
      <c r="U28" s="1"/>
      <c r="V28" s="1"/>
      <c r="X28" s="1"/>
      <c r="Y28" s="1"/>
      <c r="Z28" s="1"/>
      <c r="AA28" s="1"/>
      <c r="AB28" s="1"/>
      <c r="AD28" s="1"/>
      <c r="AE28" s="1"/>
      <c r="AF28" s="1"/>
      <c r="AG28" s="1"/>
      <c r="AH28" s="1"/>
      <c r="AP28" s="1"/>
      <c r="AQ28" s="1"/>
      <c r="AR28" s="1"/>
      <c r="AS28" s="1"/>
      <c r="AT28" s="1"/>
    </row>
    <row r="29" spans="1:46" x14ac:dyDescent="0.25">
      <c r="A29" s="9">
        <f t="shared" si="0"/>
        <v>26</v>
      </c>
      <c r="B29" s="9" t="s">
        <v>15</v>
      </c>
      <c r="C29" s="21" t="s">
        <v>284</v>
      </c>
      <c r="D29" s="21"/>
      <c r="E29" s="21"/>
      <c r="F29" s="56">
        <v>0</v>
      </c>
      <c r="G29" s="56">
        <v>0</v>
      </c>
      <c r="H29" s="56">
        <v>1307000</v>
      </c>
      <c r="I29" s="56">
        <v>1256000</v>
      </c>
      <c r="J29" s="56">
        <v>0</v>
      </c>
      <c r="K29" s="56">
        <v>0</v>
      </c>
      <c r="L29" s="1"/>
      <c r="M29" s="1"/>
      <c r="N29" s="1"/>
      <c r="O29" s="1"/>
      <c r="P29" s="1"/>
      <c r="R29" s="1"/>
      <c r="S29" s="1"/>
      <c r="T29" s="1"/>
      <c r="U29" s="1"/>
      <c r="V29" s="1"/>
      <c r="X29" s="1"/>
      <c r="Y29" s="1"/>
      <c r="Z29" s="1"/>
      <c r="AA29" s="1"/>
      <c r="AB29" s="1"/>
      <c r="AD29" s="1"/>
      <c r="AE29" s="1"/>
      <c r="AF29" s="1"/>
      <c r="AG29" s="1"/>
      <c r="AH29" s="1"/>
      <c r="AP29" s="1"/>
      <c r="AQ29" s="1"/>
      <c r="AR29" s="1"/>
      <c r="AS29" s="1"/>
      <c r="AT29" s="1"/>
    </row>
    <row r="30" spans="1:46" x14ac:dyDescent="0.25">
      <c r="A30" s="9">
        <f t="shared" si="0"/>
        <v>27</v>
      </c>
      <c r="B30" s="9" t="s">
        <v>15</v>
      </c>
      <c r="C30" s="21" t="s">
        <v>403</v>
      </c>
      <c r="D30" s="21"/>
      <c r="E30" s="21"/>
      <c r="F30" s="56">
        <v>0</v>
      </c>
      <c r="G30" s="56">
        <v>0</v>
      </c>
      <c r="H30" s="56">
        <v>1287000</v>
      </c>
      <c r="I30" s="56">
        <v>1277000</v>
      </c>
      <c r="J30" s="56">
        <v>0</v>
      </c>
      <c r="K30" s="56">
        <v>0</v>
      </c>
      <c r="L30" s="1"/>
      <c r="M30" s="1"/>
      <c r="N30" s="1"/>
      <c r="O30" s="1"/>
      <c r="P30" s="1"/>
      <c r="R30" s="1"/>
      <c r="S30" s="1"/>
      <c r="T30" s="1"/>
      <c r="U30" s="1"/>
      <c r="V30" s="1"/>
      <c r="X30" s="1"/>
      <c r="Y30" s="1"/>
      <c r="Z30" s="1"/>
      <c r="AA30" s="1"/>
      <c r="AB30" s="1"/>
      <c r="AD30" s="1"/>
      <c r="AE30" s="1"/>
      <c r="AF30" s="1"/>
      <c r="AG30" s="1"/>
      <c r="AH30" s="1"/>
      <c r="AP30" s="1"/>
      <c r="AQ30" s="1"/>
      <c r="AR30" s="1"/>
      <c r="AS30" s="1"/>
      <c r="AT30" s="1"/>
    </row>
    <row r="31" spans="1:46" x14ac:dyDescent="0.25">
      <c r="A31" s="9">
        <f t="shared" si="0"/>
        <v>28</v>
      </c>
      <c r="B31" s="9" t="s">
        <v>15</v>
      </c>
      <c r="C31" s="21" t="s">
        <v>404</v>
      </c>
      <c r="D31" s="21"/>
      <c r="E31" s="21"/>
      <c r="F31" s="56">
        <v>0</v>
      </c>
      <c r="G31" s="56">
        <v>0</v>
      </c>
      <c r="H31" s="56">
        <v>1287000</v>
      </c>
      <c r="I31" s="56">
        <v>1277000</v>
      </c>
      <c r="J31" s="56">
        <v>0</v>
      </c>
      <c r="K31" s="56">
        <v>0</v>
      </c>
      <c r="L31" s="1"/>
      <c r="M31" s="1"/>
      <c r="N31" s="1"/>
      <c r="O31" s="1"/>
      <c r="P31" s="1"/>
      <c r="R31" s="1"/>
      <c r="S31" s="1"/>
      <c r="T31" s="1"/>
      <c r="U31" s="1"/>
      <c r="V31" s="1"/>
      <c r="X31" s="1"/>
      <c r="Y31" s="1"/>
      <c r="Z31" s="1"/>
      <c r="AA31" s="1"/>
      <c r="AB31" s="1"/>
      <c r="AD31" s="1"/>
      <c r="AE31" s="1"/>
      <c r="AF31" s="1"/>
      <c r="AG31" s="1"/>
      <c r="AH31" s="1"/>
      <c r="AP31" s="1"/>
      <c r="AQ31" s="1"/>
      <c r="AR31" s="1"/>
      <c r="AS31" s="1"/>
      <c r="AT31" s="1"/>
    </row>
    <row r="32" spans="1:46" x14ac:dyDescent="0.25">
      <c r="A32" s="9">
        <f t="shared" si="0"/>
        <v>29</v>
      </c>
      <c r="B32" s="9" t="s">
        <v>15</v>
      </c>
      <c r="C32" s="21" t="s">
        <v>405</v>
      </c>
      <c r="D32" s="21"/>
      <c r="E32" s="21"/>
      <c r="F32" s="56">
        <v>0</v>
      </c>
      <c r="G32" s="56">
        <v>0</v>
      </c>
      <c r="H32" s="56">
        <v>1287000</v>
      </c>
      <c r="I32" s="56">
        <v>1277000</v>
      </c>
      <c r="J32" s="56">
        <v>0</v>
      </c>
      <c r="K32" s="56">
        <v>0</v>
      </c>
      <c r="L32" s="1"/>
      <c r="M32" s="1"/>
      <c r="N32" s="1"/>
      <c r="O32" s="1"/>
      <c r="P32" s="1"/>
      <c r="R32" s="1"/>
      <c r="S32" s="1"/>
      <c r="T32" s="1"/>
      <c r="U32" s="1"/>
      <c r="V32" s="1"/>
      <c r="X32" s="1"/>
      <c r="Y32" s="1"/>
      <c r="Z32" s="1"/>
      <c r="AA32" s="1"/>
      <c r="AB32" s="1"/>
      <c r="AD32" s="1"/>
      <c r="AE32" s="1"/>
      <c r="AF32" s="1"/>
      <c r="AG32" s="1"/>
      <c r="AH32" s="1"/>
      <c r="AP32" s="1"/>
      <c r="AQ32" s="1"/>
      <c r="AR32" s="1"/>
      <c r="AS32" s="1"/>
      <c r="AT32" s="1"/>
    </row>
    <row r="33" spans="1:46" x14ac:dyDescent="0.25">
      <c r="A33" s="9">
        <f t="shared" si="0"/>
        <v>30</v>
      </c>
      <c r="B33" s="9" t="s">
        <v>15</v>
      </c>
      <c r="C33" s="21" t="s">
        <v>406</v>
      </c>
      <c r="D33" s="21"/>
      <c r="E33" s="21"/>
      <c r="F33" s="56">
        <v>0</v>
      </c>
      <c r="G33" s="56">
        <v>0</v>
      </c>
      <c r="H33" s="56">
        <v>1287000</v>
      </c>
      <c r="I33" s="56">
        <v>1277000</v>
      </c>
      <c r="J33" s="56">
        <v>0</v>
      </c>
      <c r="K33" s="56">
        <v>0</v>
      </c>
      <c r="L33" s="1"/>
      <c r="M33" s="1"/>
      <c r="N33" s="1"/>
      <c r="O33" s="1"/>
      <c r="P33" s="1"/>
      <c r="R33" s="1"/>
      <c r="S33" s="1"/>
      <c r="T33" s="1"/>
      <c r="U33" s="1"/>
      <c r="V33" s="1"/>
      <c r="X33" s="1"/>
      <c r="Y33" s="1"/>
      <c r="Z33" s="1"/>
      <c r="AA33" s="1"/>
      <c r="AB33" s="1"/>
      <c r="AD33" s="1"/>
      <c r="AE33" s="1"/>
      <c r="AF33" s="1"/>
      <c r="AG33" s="1"/>
      <c r="AH33" s="1"/>
      <c r="AP33" s="1"/>
      <c r="AQ33" s="1"/>
      <c r="AR33" s="1"/>
      <c r="AS33" s="1"/>
      <c r="AT33" s="1"/>
    </row>
    <row r="34" spans="1:46" x14ac:dyDescent="0.25">
      <c r="A34" s="9">
        <f t="shared" si="0"/>
        <v>31</v>
      </c>
      <c r="B34" s="9" t="s">
        <v>65</v>
      </c>
      <c r="C34" s="21" t="s">
        <v>284</v>
      </c>
      <c r="D34" s="21"/>
      <c r="E34" s="21"/>
      <c r="F34" s="56">
        <v>0</v>
      </c>
      <c r="G34" s="56">
        <v>0</v>
      </c>
      <c r="H34" s="56">
        <v>804000</v>
      </c>
      <c r="I34" s="56">
        <v>784000</v>
      </c>
      <c r="J34" s="56">
        <v>0</v>
      </c>
      <c r="K34" s="56">
        <v>0</v>
      </c>
      <c r="L34" s="1"/>
      <c r="M34" s="1"/>
      <c r="N34" s="1"/>
      <c r="O34" s="1"/>
      <c r="P34" s="1"/>
      <c r="R34" s="1"/>
      <c r="S34" s="1"/>
      <c r="T34" s="1"/>
      <c r="U34" s="1"/>
      <c r="V34" s="1"/>
      <c r="X34" s="1"/>
      <c r="Y34" s="1"/>
      <c r="Z34" s="1"/>
      <c r="AA34" s="1"/>
      <c r="AB34" s="1"/>
      <c r="AD34" s="1"/>
      <c r="AE34" s="1"/>
      <c r="AF34" s="1"/>
      <c r="AG34" s="1"/>
      <c r="AH34" s="1"/>
      <c r="AP34" s="1"/>
      <c r="AQ34" s="1"/>
      <c r="AR34" s="1"/>
      <c r="AS34" s="1"/>
      <c r="AT34" s="1"/>
    </row>
    <row r="35" spans="1:46" x14ac:dyDescent="0.25">
      <c r="A35" s="9">
        <f t="shared" si="0"/>
        <v>32</v>
      </c>
      <c r="B35" s="9" t="s">
        <v>65</v>
      </c>
      <c r="C35" s="21" t="s">
        <v>400</v>
      </c>
      <c r="D35" s="21"/>
      <c r="E35" s="21"/>
      <c r="F35" s="56">
        <v>0</v>
      </c>
      <c r="G35" s="56">
        <v>0</v>
      </c>
      <c r="H35" s="56">
        <v>905000</v>
      </c>
      <c r="I35" s="56">
        <v>885000</v>
      </c>
      <c r="J35" s="56">
        <v>0</v>
      </c>
      <c r="K35" s="56">
        <v>0</v>
      </c>
      <c r="L35" s="1"/>
      <c r="M35" s="1"/>
      <c r="N35" s="1"/>
      <c r="O35" s="1"/>
      <c r="P35" s="1"/>
      <c r="R35" s="1"/>
      <c r="S35" s="1"/>
      <c r="T35" s="1"/>
      <c r="U35" s="1"/>
      <c r="V35" s="1"/>
      <c r="X35" s="1"/>
      <c r="Y35" s="1"/>
      <c r="Z35" s="1"/>
      <c r="AA35" s="1"/>
      <c r="AB35" s="1"/>
      <c r="AD35" s="1"/>
      <c r="AE35" s="1"/>
      <c r="AF35" s="1"/>
      <c r="AG35" s="1"/>
      <c r="AH35" s="1"/>
      <c r="AP35" s="1"/>
      <c r="AQ35" s="1"/>
      <c r="AR35" s="1"/>
      <c r="AS35" s="1"/>
      <c r="AT35" s="1"/>
    </row>
    <row r="36" spans="1:46" x14ac:dyDescent="0.25">
      <c r="A36" s="9">
        <f t="shared" si="0"/>
        <v>33</v>
      </c>
      <c r="B36" s="9" t="s">
        <v>65</v>
      </c>
      <c r="C36" s="21" t="s">
        <v>66</v>
      </c>
      <c r="D36" s="21"/>
      <c r="E36" s="21"/>
      <c r="F36" s="56">
        <v>0</v>
      </c>
      <c r="G36" s="56">
        <v>0</v>
      </c>
      <c r="H36" s="56">
        <v>854000</v>
      </c>
      <c r="I36" s="56">
        <v>824000</v>
      </c>
      <c r="J36" s="56">
        <v>0</v>
      </c>
      <c r="K36" s="56">
        <v>0</v>
      </c>
      <c r="L36" s="1"/>
      <c r="M36" s="1"/>
      <c r="N36" s="1"/>
      <c r="O36" s="1"/>
      <c r="P36" s="1"/>
      <c r="R36" s="1"/>
      <c r="S36" s="1"/>
      <c r="T36" s="1"/>
      <c r="U36" s="1"/>
      <c r="V36" s="1"/>
      <c r="X36" s="1"/>
      <c r="Y36" s="1"/>
      <c r="Z36" s="1"/>
      <c r="AA36" s="1"/>
      <c r="AB36" s="1"/>
      <c r="AD36" s="1"/>
      <c r="AE36" s="1"/>
      <c r="AF36" s="1"/>
      <c r="AG36" s="1"/>
      <c r="AH36" s="1"/>
      <c r="AP36" s="1"/>
      <c r="AQ36" s="1"/>
      <c r="AR36" s="1"/>
      <c r="AS36" s="1"/>
      <c r="AT36" s="1"/>
    </row>
    <row r="37" spans="1:46" x14ac:dyDescent="0.25">
      <c r="A37" s="9">
        <f t="shared" si="0"/>
        <v>34</v>
      </c>
      <c r="B37" s="9" t="s">
        <v>65</v>
      </c>
      <c r="C37" s="21" t="s">
        <v>401</v>
      </c>
      <c r="D37" s="21"/>
      <c r="E37" s="21"/>
      <c r="F37" s="56">
        <v>0</v>
      </c>
      <c r="G37" s="56">
        <v>0</v>
      </c>
      <c r="H37" s="56">
        <v>905000</v>
      </c>
      <c r="I37" s="56">
        <v>885000</v>
      </c>
      <c r="J37" s="56">
        <v>0</v>
      </c>
      <c r="K37" s="56">
        <v>0</v>
      </c>
      <c r="L37" s="1"/>
      <c r="M37" s="1"/>
      <c r="N37" s="1"/>
      <c r="O37" s="1"/>
      <c r="P37" s="1"/>
      <c r="R37" s="1"/>
      <c r="S37" s="1"/>
      <c r="T37" s="1"/>
      <c r="U37" s="1"/>
      <c r="V37" s="1"/>
      <c r="X37" s="1"/>
      <c r="Y37" s="1"/>
      <c r="Z37" s="1"/>
      <c r="AA37" s="1"/>
      <c r="AB37" s="1"/>
      <c r="AD37" s="1"/>
      <c r="AE37" s="1"/>
      <c r="AF37" s="1"/>
      <c r="AG37" s="1"/>
      <c r="AH37" s="1"/>
      <c r="AP37" s="1"/>
      <c r="AQ37" s="1"/>
      <c r="AR37" s="1"/>
      <c r="AS37" s="1"/>
      <c r="AT37" s="1"/>
    </row>
    <row r="38" spans="1:46" x14ac:dyDescent="0.25">
      <c r="A38" s="9">
        <f t="shared" si="0"/>
        <v>35</v>
      </c>
      <c r="B38" s="9" t="s">
        <v>65</v>
      </c>
      <c r="C38" s="21" t="s">
        <v>402</v>
      </c>
      <c r="D38" s="21"/>
      <c r="E38" s="21"/>
      <c r="F38" s="56">
        <v>0</v>
      </c>
      <c r="G38" s="56">
        <v>0</v>
      </c>
      <c r="H38" s="56">
        <v>905000</v>
      </c>
      <c r="I38" s="56">
        <v>885000</v>
      </c>
      <c r="J38" s="56">
        <v>0</v>
      </c>
      <c r="K38" s="56">
        <v>0</v>
      </c>
      <c r="L38" s="1"/>
      <c r="M38" s="1"/>
      <c r="N38" s="1"/>
      <c r="O38" s="1"/>
      <c r="P38" s="1"/>
      <c r="R38" s="1"/>
      <c r="S38" s="1"/>
      <c r="T38" s="1"/>
      <c r="U38" s="1"/>
      <c r="V38" s="1"/>
      <c r="X38" s="1"/>
      <c r="Y38" s="1"/>
      <c r="Z38" s="1"/>
      <c r="AA38" s="1"/>
      <c r="AB38" s="1"/>
      <c r="AD38" s="1"/>
      <c r="AE38" s="1"/>
      <c r="AF38" s="1"/>
      <c r="AG38" s="1"/>
      <c r="AH38" s="1"/>
      <c r="AP38" s="1"/>
      <c r="AQ38" s="1"/>
      <c r="AR38" s="1"/>
      <c r="AS38" s="1"/>
      <c r="AT38" s="1"/>
    </row>
    <row r="39" spans="1:46" x14ac:dyDescent="0.25">
      <c r="A39" s="9">
        <f t="shared" si="0"/>
        <v>36</v>
      </c>
      <c r="B39" s="9" t="s">
        <v>69</v>
      </c>
      <c r="C39" s="21" t="s">
        <v>423</v>
      </c>
      <c r="D39" s="21"/>
      <c r="E39" s="21"/>
      <c r="F39" s="56">
        <v>1156000</v>
      </c>
      <c r="G39" s="56">
        <v>0</v>
      </c>
      <c r="H39" s="56">
        <v>282000</v>
      </c>
      <c r="I39" s="56">
        <v>251000</v>
      </c>
      <c r="J39" s="56">
        <v>0</v>
      </c>
      <c r="K39" s="56">
        <v>302000</v>
      </c>
      <c r="L39" s="1"/>
      <c r="M39" s="1"/>
      <c r="N39" s="1"/>
      <c r="O39" s="1"/>
      <c r="P39" s="1"/>
      <c r="R39" s="1"/>
      <c r="S39" s="1"/>
      <c r="T39" s="1"/>
      <c r="U39" s="1"/>
      <c r="V39" s="1"/>
      <c r="X39" s="1"/>
      <c r="Y39" s="1"/>
      <c r="Z39" s="1"/>
      <c r="AA39" s="1"/>
      <c r="AB39" s="1"/>
      <c r="AD39" s="1"/>
      <c r="AE39" s="1"/>
      <c r="AF39" s="1"/>
      <c r="AG39" s="1"/>
      <c r="AH39" s="1"/>
      <c r="AP39" s="1"/>
      <c r="AQ39" s="1"/>
      <c r="AR39" s="1"/>
      <c r="AS39" s="1"/>
      <c r="AT39" s="1"/>
    </row>
    <row r="40" spans="1:46" s="53" customFormat="1" x14ac:dyDescent="0.25">
      <c r="A40" s="52">
        <f t="shared" si="0"/>
        <v>37</v>
      </c>
      <c r="B40" s="52" t="s">
        <v>69</v>
      </c>
      <c r="C40" s="46" t="s">
        <v>344</v>
      </c>
      <c r="D40" s="46"/>
      <c r="E40" s="46"/>
      <c r="F40" s="57">
        <v>1709000</v>
      </c>
      <c r="G40" s="57">
        <v>0</v>
      </c>
      <c r="H40" s="57">
        <v>337000</v>
      </c>
      <c r="I40" s="57">
        <v>276000</v>
      </c>
      <c r="J40" s="57">
        <v>0</v>
      </c>
      <c r="K40" s="57">
        <v>412000</v>
      </c>
    </row>
    <row r="41" spans="1:46" x14ac:dyDescent="0.25">
      <c r="A41" s="9">
        <f t="shared" si="0"/>
        <v>38</v>
      </c>
      <c r="B41" s="9" t="s">
        <v>69</v>
      </c>
      <c r="C41" s="21" t="s">
        <v>424</v>
      </c>
      <c r="D41" s="21"/>
      <c r="E41" s="21"/>
      <c r="F41" s="56">
        <v>1156000</v>
      </c>
      <c r="G41" s="56">
        <v>0</v>
      </c>
      <c r="H41" s="56">
        <v>282000</v>
      </c>
      <c r="I41" s="56">
        <v>251000</v>
      </c>
      <c r="J41" s="56">
        <v>0</v>
      </c>
      <c r="K41" s="56">
        <v>302000</v>
      </c>
      <c r="L41" s="1"/>
      <c r="M41" s="1"/>
      <c r="N41" s="1"/>
      <c r="O41" s="1"/>
      <c r="P41" s="1"/>
      <c r="R41" s="1"/>
      <c r="S41" s="1"/>
      <c r="T41" s="1"/>
      <c r="U41" s="1"/>
      <c r="V41" s="1"/>
      <c r="X41" s="1"/>
      <c r="Y41" s="1"/>
      <c r="Z41" s="1"/>
      <c r="AA41" s="1"/>
      <c r="AB41" s="1"/>
      <c r="AD41" s="1"/>
      <c r="AE41" s="1"/>
      <c r="AF41" s="1"/>
      <c r="AG41" s="1"/>
      <c r="AH41" s="1"/>
      <c r="AP41" s="1"/>
      <c r="AQ41" s="1"/>
      <c r="AR41" s="1"/>
      <c r="AS41" s="1"/>
      <c r="AT41" s="1"/>
    </row>
    <row r="42" spans="1:46" x14ac:dyDescent="0.25">
      <c r="A42" s="9">
        <f t="shared" si="0"/>
        <v>39</v>
      </c>
      <c r="B42" s="9" t="s">
        <v>69</v>
      </c>
      <c r="C42" s="21" t="s">
        <v>346</v>
      </c>
      <c r="D42" s="21"/>
      <c r="E42" s="21"/>
      <c r="F42" s="56">
        <v>1709000</v>
      </c>
      <c r="G42" s="56">
        <v>0</v>
      </c>
      <c r="H42" s="56">
        <v>337000</v>
      </c>
      <c r="I42" s="56">
        <v>276000</v>
      </c>
      <c r="J42" s="56">
        <v>0</v>
      </c>
      <c r="K42" s="56">
        <v>412000</v>
      </c>
      <c r="L42" s="1"/>
      <c r="M42" s="1"/>
      <c r="N42" s="1"/>
      <c r="O42" s="1"/>
      <c r="P42" s="1"/>
      <c r="R42" s="1"/>
      <c r="S42" s="1"/>
      <c r="T42" s="1"/>
      <c r="U42" s="1"/>
      <c r="V42" s="1"/>
      <c r="X42" s="1"/>
      <c r="Y42" s="1"/>
      <c r="Z42" s="1"/>
      <c r="AA42" s="1"/>
      <c r="AB42" s="1"/>
      <c r="AD42" s="1"/>
      <c r="AE42" s="1"/>
      <c r="AF42" s="1"/>
      <c r="AG42" s="1"/>
      <c r="AH42" s="1"/>
      <c r="AP42" s="1"/>
      <c r="AQ42" s="1"/>
      <c r="AR42" s="1"/>
      <c r="AS42" s="1"/>
      <c r="AT42" s="1"/>
    </row>
    <row r="43" spans="1:46" x14ac:dyDescent="0.25">
      <c r="A43" s="9">
        <f t="shared" si="0"/>
        <v>40</v>
      </c>
      <c r="B43" s="9" t="s">
        <v>69</v>
      </c>
      <c r="C43" s="21" t="s">
        <v>324</v>
      </c>
      <c r="D43" s="21"/>
      <c r="E43" s="21"/>
      <c r="F43" s="56">
        <v>0</v>
      </c>
      <c r="G43" s="56">
        <v>0</v>
      </c>
      <c r="H43" s="56">
        <v>452000</v>
      </c>
      <c r="I43" s="56">
        <v>402000</v>
      </c>
      <c r="J43" s="56">
        <v>0</v>
      </c>
      <c r="K43" s="56">
        <v>553000</v>
      </c>
      <c r="L43" s="1"/>
      <c r="M43" s="1"/>
      <c r="N43" s="1"/>
      <c r="O43" s="1"/>
      <c r="P43" s="1"/>
      <c r="R43" s="1"/>
      <c r="S43" s="1"/>
      <c r="T43" s="1"/>
      <c r="U43" s="1"/>
      <c r="V43" s="1"/>
      <c r="X43" s="1"/>
      <c r="Y43" s="1"/>
      <c r="Z43" s="1"/>
      <c r="AA43" s="1"/>
      <c r="AB43" s="1"/>
      <c r="AD43" s="1"/>
      <c r="AE43" s="1"/>
      <c r="AF43" s="1"/>
      <c r="AG43" s="1"/>
      <c r="AH43" s="1"/>
      <c r="AP43" s="1"/>
      <c r="AQ43" s="1"/>
      <c r="AR43" s="1"/>
      <c r="AS43" s="1"/>
      <c r="AT43" s="1"/>
    </row>
    <row r="44" spans="1:46" x14ac:dyDescent="0.25">
      <c r="A44" s="9">
        <f t="shared" si="0"/>
        <v>41</v>
      </c>
      <c r="B44" s="9" t="s">
        <v>69</v>
      </c>
      <c r="C44" s="21" t="s">
        <v>347</v>
      </c>
      <c r="D44" s="21"/>
      <c r="E44" s="21"/>
      <c r="F44" s="56">
        <v>1709000</v>
      </c>
      <c r="G44" s="56">
        <v>0</v>
      </c>
      <c r="H44" s="56">
        <v>337000</v>
      </c>
      <c r="I44" s="56">
        <v>276000</v>
      </c>
      <c r="J44" s="56">
        <v>0</v>
      </c>
      <c r="K44" s="56">
        <v>412000</v>
      </c>
      <c r="L44" s="1"/>
      <c r="M44" s="1"/>
      <c r="N44" s="1"/>
      <c r="O44" s="1"/>
      <c r="P44" s="1"/>
      <c r="R44" s="1"/>
      <c r="S44" s="1"/>
      <c r="T44" s="1"/>
      <c r="U44" s="1"/>
      <c r="V44" s="1"/>
      <c r="X44" s="1"/>
      <c r="Y44" s="1"/>
      <c r="Z44" s="1"/>
      <c r="AA44" s="1"/>
      <c r="AB44" s="1"/>
      <c r="AD44" s="1"/>
      <c r="AE44" s="1"/>
      <c r="AF44" s="1"/>
      <c r="AG44" s="1"/>
      <c r="AH44" s="1"/>
      <c r="AP44" s="1"/>
      <c r="AQ44" s="1"/>
      <c r="AR44" s="1"/>
      <c r="AS44" s="1"/>
      <c r="AT44" s="1"/>
    </row>
    <row r="45" spans="1:46" x14ac:dyDescent="0.25">
      <c r="A45" s="9">
        <f t="shared" si="0"/>
        <v>42</v>
      </c>
      <c r="B45" s="9" t="s">
        <v>69</v>
      </c>
      <c r="C45" s="21" t="s">
        <v>10</v>
      </c>
      <c r="D45" s="21"/>
      <c r="E45" s="21"/>
      <c r="F45" s="56">
        <v>0</v>
      </c>
      <c r="G45" s="56">
        <v>0</v>
      </c>
      <c r="H45" s="56">
        <v>452000</v>
      </c>
      <c r="I45" s="56">
        <v>402000</v>
      </c>
      <c r="J45" s="56">
        <v>0</v>
      </c>
      <c r="K45" s="56">
        <v>553000</v>
      </c>
      <c r="L45" s="1"/>
      <c r="M45" s="1"/>
      <c r="N45" s="1"/>
      <c r="O45" s="1"/>
      <c r="P45" s="1"/>
      <c r="R45" s="1"/>
      <c r="S45" s="1"/>
      <c r="T45" s="1"/>
      <c r="U45" s="1"/>
      <c r="V45" s="1"/>
      <c r="X45" s="1"/>
      <c r="Y45" s="1"/>
      <c r="Z45" s="1"/>
      <c r="AA45" s="1"/>
      <c r="AB45" s="1"/>
      <c r="AD45" s="1"/>
      <c r="AE45" s="1"/>
      <c r="AF45" s="1"/>
      <c r="AG45" s="1"/>
      <c r="AH45" s="1"/>
      <c r="AP45" s="1"/>
      <c r="AQ45" s="1"/>
      <c r="AR45" s="1"/>
      <c r="AS45" s="1"/>
      <c r="AT45" s="1"/>
    </row>
    <row r="46" spans="1:46" x14ac:dyDescent="0.25">
      <c r="A46" s="9">
        <f t="shared" si="0"/>
        <v>43</v>
      </c>
      <c r="B46" s="9" t="s">
        <v>69</v>
      </c>
      <c r="C46" s="21" t="s">
        <v>325</v>
      </c>
      <c r="D46" s="21"/>
      <c r="E46" s="21"/>
      <c r="F46" s="56">
        <v>0</v>
      </c>
      <c r="G46" s="56">
        <v>0</v>
      </c>
      <c r="H46" s="56">
        <v>452000</v>
      </c>
      <c r="I46" s="56">
        <v>402000</v>
      </c>
      <c r="J46" s="56">
        <v>0</v>
      </c>
      <c r="K46" s="56">
        <v>553000</v>
      </c>
      <c r="L46" s="1"/>
      <c r="M46" s="1"/>
      <c r="N46" s="1"/>
      <c r="O46" s="1"/>
      <c r="P46" s="1"/>
      <c r="R46" s="1"/>
      <c r="S46" s="1"/>
      <c r="T46" s="1"/>
      <c r="U46" s="1"/>
      <c r="V46" s="1"/>
      <c r="X46" s="1"/>
      <c r="Y46" s="1"/>
      <c r="Z46" s="1"/>
      <c r="AA46" s="1"/>
      <c r="AB46" s="1"/>
      <c r="AD46" s="1"/>
      <c r="AE46" s="1"/>
      <c r="AF46" s="1"/>
      <c r="AG46" s="1"/>
      <c r="AH46" s="1"/>
      <c r="AP46" s="1"/>
      <c r="AQ46" s="1"/>
      <c r="AR46" s="1"/>
      <c r="AS46" s="1"/>
      <c r="AT46" s="1"/>
    </row>
    <row r="47" spans="1:46" x14ac:dyDescent="0.25">
      <c r="A47" s="9">
        <f t="shared" si="0"/>
        <v>44</v>
      </c>
      <c r="B47" s="9" t="s">
        <v>69</v>
      </c>
      <c r="C47" s="21" t="s">
        <v>348</v>
      </c>
      <c r="D47" s="21"/>
      <c r="E47" s="21"/>
      <c r="F47" s="56">
        <v>1709000</v>
      </c>
      <c r="G47" s="56">
        <v>0</v>
      </c>
      <c r="H47" s="56">
        <v>337000</v>
      </c>
      <c r="I47" s="56">
        <v>276000</v>
      </c>
      <c r="J47" s="56">
        <v>0</v>
      </c>
      <c r="K47" s="56">
        <v>412000</v>
      </c>
      <c r="L47" s="1"/>
      <c r="M47" s="1"/>
      <c r="N47" s="1"/>
      <c r="O47" s="1"/>
      <c r="P47" s="1"/>
      <c r="R47" s="1"/>
      <c r="S47" s="1"/>
      <c r="T47" s="1"/>
      <c r="U47" s="1"/>
      <c r="V47" s="1"/>
      <c r="X47" s="1"/>
      <c r="Y47" s="1"/>
      <c r="Z47" s="1"/>
      <c r="AA47" s="1"/>
      <c r="AB47" s="1"/>
      <c r="AD47" s="1"/>
      <c r="AE47" s="1"/>
      <c r="AF47" s="1"/>
      <c r="AG47" s="1"/>
      <c r="AH47" s="1"/>
      <c r="AP47" s="1"/>
      <c r="AQ47" s="1"/>
      <c r="AR47" s="1"/>
      <c r="AS47" s="1"/>
      <c r="AT47" s="1"/>
    </row>
    <row r="48" spans="1:46" x14ac:dyDescent="0.25">
      <c r="A48" s="9">
        <f t="shared" si="0"/>
        <v>45</v>
      </c>
      <c r="B48" s="9" t="s">
        <v>69</v>
      </c>
      <c r="C48" s="21" t="s">
        <v>349</v>
      </c>
      <c r="D48" s="21"/>
      <c r="E48" s="21"/>
      <c r="F48" s="56">
        <v>1709000</v>
      </c>
      <c r="G48" s="56">
        <v>0</v>
      </c>
      <c r="H48" s="56">
        <v>337000</v>
      </c>
      <c r="I48" s="56">
        <v>276000</v>
      </c>
      <c r="J48" s="56">
        <v>0</v>
      </c>
      <c r="K48" s="56">
        <v>412000</v>
      </c>
      <c r="L48" s="1"/>
      <c r="M48" s="1"/>
      <c r="N48" s="1"/>
      <c r="O48" s="1"/>
      <c r="P48" s="1"/>
      <c r="R48" s="1"/>
      <c r="S48" s="1"/>
      <c r="T48" s="1"/>
      <c r="U48" s="1"/>
      <c r="V48" s="1"/>
      <c r="X48" s="1"/>
      <c r="Y48" s="1"/>
      <c r="Z48" s="1"/>
      <c r="AA48" s="1"/>
      <c r="AB48" s="1"/>
      <c r="AD48" s="1"/>
      <c r="AE48" s="1"/>
      <c r="AF48" s="1"/>
      <c r="AG48" s="1"/>
      <c r="AH48" s="1"/>
      <c r="AP48" s="1"/>
      <c r="AQ48" s="1"/>
      <c r="AR48" s="1"/>
      <c r="AS48" s="1"/>
      <c r="AT48" s="1"/>
    </row>
    <row r="49" spans="1:46" x14ac:dyDescent="0.25">
      <c r="A49" s="9">
        <f t="shared" si="0"/>
        <v>46</v>
      </c>
      <c r="B49" s="9" t="s">
        <v>69</v>
      </c>
      <c r="C49" s="21" t="s">
        <v>350</v>
      </c>
      <c r="D49" s="21"/>
      <c r="E49" s="21"/>
      <c r="F49" s="56">
        <v>1709000</v>
      </c>
      <c r="G49" s="56">
        <v>0</v>
      </c>
      <c r="H49" s="56">
        <v>337000</v>
      </c>
      <c r="I49" s="56">
        <v>276000</v>
      </c>
      <c r="J49" s="56">
        <v>0</v>
      </c>
      <c r="K49" s="56">
        <v>412000</v>
      </c>
      <c r="L49" s="1"/>
      <c r="M49" s="1"/>
      <c r="N49" s="1"/>
      <c r="O49" s="1"/>
      <c r="P49" s="1"/>
      <c r="R49" s="1"/>
      <c r="S49" s="1"/>
      <c r="T49" s="1"/>
      <c r="U49" s="1"/>
      <c r="V49" s="1"/>
      <c r="X49" s="1"/>
      <c r="Y49" s="1"/>
      <c r="Z49" s="1"/>
      <c r="AA49" s="1"/>
      <c r="AB49" s="1"/>
      <c r="AD49" s="1"/>
      <c r="AE49" s="1"/>
      <c r="AF49" s="1"/>
      <c r="AG49" s="1"/>
      <c r="AH49" s="1"/>
      <c r="AP49" s="1"/>
      <c r="AQ49" s="1"/>
      <c r="AR49" s="1"/>
      <c r="AS49" s="1"/>
      <c r="AT49" s="1"/>
    </row>
    <row r="50" spans="1:46" x14ac:dyDescent="0.25">
      <c r="A50" s="9">
        <f t="shared" si="0"/>
        <v>47</v>
      </c>
      <c r="B50" s="9" t="s">
        <v>69</v>
      </c>
      <c r="C50" s="21" t="s">
        <v>345</v>
      </c>
      <c r="D50" s="21"/>
      <c r="E50" s="21"/>
      <c r="F50" s="56">
        <v>2011000</v>
      </c>
      <c r="G50" s="56">
        <v>0</v>
      </c>
      <c r="H50" s="56">
        <v>377000</v>
      </c>
      <c r="I50" s="56">
        <v>362000</v>
      </c>
      <c r="J50" s="56">
        <v>342000</v>
      </c>
      <c r="K50" s="56">
        <v>483000</v>
      </c>
      <c r="L50" s="1"/>
      <c r="M50" s="1"/>
      <c r="N50" s="1"/>
      <c r="O50" s="1"/>
      <c r="P50" s="1"/>
      <c r="R50" s="1"/>
      <c r="S50" s="1"/>
      <c r="T50" s="1"/>
      <c r="U50" s="1"/>
      <c r="V50" s="1"/>
      <c r="X50" s="1"/>
      <c r="Y50" s="1"/>
      <c r="Z50" s="1"/>
      <c r="AA50" s="1"/>
      <c r="AB50" s="1"/>
      <c r="AD50" s="1"/>
      <c r="AE50" s="1"/>
      <c r="AF50" s="1"/>
      <c r="AG50" s="1"/>
      <c r="AH50" s="1"/>
      <c r="AP50" s="1"/>
      <c r="AQ50" s="1"/>
      <c r="AR50" s="1"/>
      <c r="AS50" s="1"/>
      <c r="AT50" s="1"/>
    </row>
    <row r="51" spans="1:46" x14ac:dyDescent="0.25">
      <c r="A51" s="9">
        <f t="shared" si="0"/>
        <v>48</v>
      </c>
      <c r="B51" s="9" t="s">
        <v>69</v>
      </c>
      <c r="C51" s="21" t="s">
        <v>326</v>
      </c>
      <c r="D51" s="21"/>
      <c r="E51" s="21"/>
      <c r="F51" s="56">
        <v>0</v>
      </c>
      <c r="G51" s="56">
        <v>0</v>
      </c>
      <c r="H51" s="56">
        <v>452000</v>
      </c>
      <c r="I51" s="56">
        <v>402000</v>
      </c>
      <c r="J51" s="56">
        <v>0</v>
      </c>
      <c r="K51" s="56">
        <v>553000</v>
      </c>
      <c r="L51" s="1"/>
      <c r="M51" s="1"/>
      <c r="N51" s="1"/>
      <c r="O51" s="1"/>
      <c r="P51" s="1"/>
      <c r="R51" s="1"/>
      <c r="S51" s="1"/>
      <c r="T51" s="1"/>
      <c r="U51" s="1"/>
      <c r="V51" s="1"/>
      <c r="X51" s="1"/>
      <c r="Y51" s="1"/>
      <c r="Z51" s="1"/>
      <c r="AA51" s="1"/>
      <c r="AB51" s="1"/>
      <c r="AD51" s="1"/>
      <c r="AE51" s="1"/>
      <c r="AF51" s="1"/>
      <c r="AG51" s="1"/>
      <c r="AH51" s="1"/>
      <c r="AP51" s="1"/>
      <c r="AQ51" s="1"/>
      <c r="AR51" s="1"/>
      <c r="AS51" s="1"/>
      <c r="AT51" s="1"/>
    </row>
    <row r="52" spans="1:46" x14ac:dyDescent="0.25">
      <c r="A52" s="9">
        <f t="shared" si="0"/>
        <v>49</v>
      </c>
      <c r="B52" s="9" t="s">
        <v>69</v>
      </c>
      <c r="C52" s="21" t="s">
        <v>338</v>
      </c>
      <c r="D52" s="21"/>
      <c r="E52" s="21"/>
      <c r="F52" s="56">
        <v>1156000</v>
      </c>
      <c r="G52" s="56">
        <v>0</v>
      </c>
      <c r="H52" s="56">
        <v>282000</v>
      </c>
      <c r="I52" s="56">
        <v>251000</v>
      </c>
      <c r="J52" s="56">
        <v>0</v>
      </c>
      <c r="K52" s="56">
        <v>302000</v>
      </c>
      <c r="L52" s="1"/>
      <c r="M52" s="1"/>
      <c r="N52" s="1"/>
      <c r="O52" s="1"/>
      <c r="P52" s="1"/>
      <c r="R52" s="1"/>
      <c r="S52" s="1"/>
      <c r="T52" s="1"/>
      <c r="U52" s="1"/>
      <c r="V52" s="1"/>
      <c r="X52" s="1"/>
      <c r="Y52" s="1"/>
      <c r="Z52" s="1"/>
      <c r="AA52" s="1"/>
      <c r="AB52" s="1"/>
      <c r="AD52" s="1"/>
      <c r="AE52" s="1"/>
      <c r="AF52" s="1"/>
      <c r="AG52" s="1"/>
      <c r="AH52" s="1"/>
      <c r="AP52" s="1"/>
      <c r="AQ52" s="1"/>
      <c r="AR52" s="1"/>
      <c r="AS52" s="1"/>
      <c r="AT52" s="1"/>
    </row>
    <row r="53" spans="1:46" x14ac:dyDescent="0.25">
      <c r="A53" s="9">
        <f t="shared" si="0"/>
        <v>50</v>
      </c>
      <c r="B53" s="9" t="s">
        <v>69</v>
      </c>
      <c r="C53" s="21" t="s">
        <v>459</v>
      </c>
      <c r="D53" s="21"/>
      <c r="E53" s="21"/>
      <c r="F53" s="56">
        <v>1156000</v>
      </c>
      <c r="G53" s="56">
        <v>0</v>
      </c>
      <c r="H53" s="56">
        <v>282000</v>
      </c>
      <c r="I53" s="56">
        <v>251000</v>
      </c>
      <c r="J53" s="56">
        <v>0</v>
      </c>
      <c r="K53" s="56">
        <v>302000</v>
      </c>
      <c r="L53" s="1"/>
      <c r="M53" s="1"/>
      <c r="N53" s="1"/>
      <c r="O53" s="1"/>
      <c r="P53" s="1"/>
      <c r="R53" s="1"/>
      <c r="S53" s="1"/>
      <c r="T53" s="1"/>
      <c r="U53" s="1"/>
      <c r="V53" s="1"/>
      <c r="X53" s="1"/>
      <c r="Y53" s="1"/>
      <c r="Z53" s="1"/>
      <c r="AA53" s="1"/>
      <c r="AB53" s="1"/>
      <c r="AD53" s="1"/>
      <c r="AE53" s="1"/>
      <c r="AF53" s="1"/>
      <c r="AG53" s="1"/>
      <c r="AH53" s="1"/>
      <c r="AP53" s="1"/>
      <c r="AQ53" s="1"/>
      <c r="AR53" s="1"/>
      <c r="AS53" s="1"/>
      <c r="AT53" s="1"/>
    </row>
    <row r="54" spans="1:46" x14ac:dyDescent="0.25">
      <c r="A54" s="9">
        <f t="shared" si="0"/>
        <v>51</v>
      </c>
      <c r="B54" s="9" t="s">
        <v>69</v>
      </c>
      <c r="C54" s="21" t="s">
        <v>74</v>
      </c>
      <c r="D54" s="21"/>
      <c r="E54" s="21"/>
      <c r="F54" s="56">
        <v>1156000</v>
      </c>
      <c r="G54" s="56">
        <v>0</v>
      </c>
      <c r="H54" s="56">
        <v>282000</v>
      </c>
      <c r="I54" s="56">
        <v>251000</v>
      </c>
      <c r="J54" s="56">
        <v>0</v>
      </c>
      <c r="K54" s="56">
        <v>302000</v>
      </c>
      <c r="L54" s="1"/>
      <c r="M54" s="1"/>
      <c r="N54" s="1"/>
      <c r="O54" s="1"/>
      <c r="P54" s="1"/>
      <c r="R54" s="1"/>
      <c r="S54" s="1"/>
      <c r="T54" s="1"/>
      <c r="U54" s="1"/>
      <c r="V54" s="1"/>
      <c r="X54" s="1"/>
      <c r="Y54" s="1"/>
      <c r="Z54" s="1"/>
      <c r="AA54" s="1"/>
      <c r="AB54" s="1"/>
      <c r="AD54" s="1"/>
      <c r="AE54" s="1"/>
      <c r="AF54" s="1"/>
      <c r="AG54" s="1"/>
      <c r="AH54" s="1"/>
      <c r="AP54" s="1"/>
      <c r="AQ54" s="1"/>
      <c r="AR54" s="1"/>
      <c r="AS54" s="1"/>
      <c r="AT54" s="1"/>
    </row>
    <row r="55" spans="1:46" x14ac:dyDescent="0.25">
      <c r="A55" s="9">
        <f t="shared" si="0"/>
        <v>52</v>
      </c>
      <c r="B55" s="9" t="s">
        <v>69</v>
      </c>
      <c r="C55" s="21" t="s">
        <v>75</v>
      </c>
      <c r="D55" s="21"/>
      <c r="E55" s="21"/>
      <c r="F55" s="56">
        <v>1156000</v>
      </c>
      <c r="G55" s="56">
        <v>0</v>
      </c>
      <c r="H55" s="56">
        <v>282000</v>
      </c>
      <c r="I55" s="56">
        <v>251000</v>
      </c>
      <c r="J55" s="56">
        <v>0</v>
      </c>
      <c r="K55" s="56">
        <v>302000</v>
      </c>
      <c r="L55" s="1"/>
      <c r="M55" s="1"/>
      <c r="N55" s="1"/>
      <c r="O55" s="1"/>
      <c r="P55" s="1"/>
      <c r="R55" s="1"/>
      <c r="S55" s="1"/>
      <c r="T55" s="1"/>
      <c r="U55" s="1"/>
      <c r="V55" s="1"/>
      <c r="X55" s="1"/>
      <c r="Y55" s="1"/>
      <c r="Z55" s="1"/>
      <c r="AA55" s="1"/>
      <c r="AB55" s="1"/>
      <c r="AD55" s="1"/>
      <c r="AE55" s="1"/>
      <c r="AF55" s="1"/>
      <c r="AG55" s="1"/>
      <c r="AH55" s="1"/>
      <c r="AP55" s="1"/>
      <c r="AQ55" s="1"/>
      <c r="AR55" s="1"/>
      <c r="AS55" s="1"/>
      <c r="AT55" s="1"/>
    </row>
    <row r="56" spans="1:46" x14ac:dyDescent="0.25">
      <c r="A56" s="9">
        <f t="shared" si="0"/>
        <v>53</v>
      </c>
      <c r="B56" s="9" t="s">
        <v>69</v>
      </c>
      <c r="C56" s="21" t="s">
        <v>327</v>
      </c>
      <c r="D56" s="21"/>
      <c r="E56" s="21"/>
      <c r="F56" s="56">
        <v>0</v>
      </c>
      <c r="G56" s="56">
        <v>0</v>
      </c>
      <c r="H56" s="56">
        <v>452000</v>
      </c>
      <c r="I56" s="56">
        <v>402000</v>
      </c>
      <c r="J56" s="56">
        <v>0</v>
      </c>
      <c r="K56" s="56">
        <v>553000</v>
      </c>
      <c r="L56" s="1"/>
      <c r="M56" s="1"/>
      <c r="N56" s="1"/>
      <c r="O56" s="1"/>
      <c r="P56" s="1"/>
      <c r="R56" s="1"/>
      <c r="S56" s="1"/>
      <c r="T56" s="1"/>
      <c r="U56" s="1"/>
      <c r="V56" s="1"/>
      <c r="X56" s="1"/>
      <c r="Y56" s="1"/>
      <c r="Z56" s="1"/>
      <c r="AA56" s="1"/>
      <c r="AB56" s="1"/>
      <c r="AD56" s="1"/>
      <c r="AE56" s="1"/>
      <c r="AF56" s="1"/>
      <c r="AG56" s="1"/>
      <c r="AH56" s="1"/>
      <c r="AP56" s="1"/>
      <c r="AQ56" s="1"/>
      <c r="AR56" s="1"/>
      <c r="AS56" s="1"/>
      <c r="AT56" s="1"/>
    </row>
    <row r="57" spans="1:46" x14ac:dyDescent="0.25">
      <c r="A57" s="9">
        <f t="shared" si="0"/>
        <v>54</v>
      </c>
      <c r="B57" s="9" t="s">
        <v>69</v>
      </c>
      <c r="C57" s="21" t="s">
        <v>339</v>
      </c>
      <c r="D57" s="21"/>
      <c r="E57" s="21"/>
      <c r="F57" s="56">
        <v>1156000</v>
      </c>
      <c r="G57" s="56">
        <v>0</v>
      </c>
      <c r="H57" s="56">
        <v>282000</v>
      </c>
      <c r="I57" s="56">
        <v>251000</v>
      </c>
      <c r="J57" s="56">
        <v>0</v>
      </c>
      <c r="K57" s="56">
        <v>302000</v>
      </c>
      <c r="L57" s="1"/>
      <c r="M57" s="1"/>
      <c r="N57" s="1"/>
      <c r="O57" s="1"/>
      <c r="P57" s="1"/>
      <c r="R57" s="1"/>
      <c r="S57" s="1"/>
      <c r="T57" s="1"/>
      <c r="U57" s="1"/>
      <c r="V57" s="1"/>
      <c r="X57" s="1"/>
      <c r="Y57" s="1"/>
      <c r="Z57" s="1"/>
      <c r="AA57" s="1"/>
      <c r="AB57" s="1"/>
      <c r="AD57" s="1"/>
      <c r="AE57" s="1"/>
      <c r="AF57" s="1"/>
      <c r="AG57" s="1"/>
      <c r="AH57" s="1"/>
      <c r="AP57" s="1"/>
      <c r="AQ57" s="1"/>
      <c r="AR57" s="1"/>
      <c r="AS57" s="1"/>
      <c r="AT57" s="1"/>
    </row>
    <row r="58" spans="1:46" x14ac:dyDescent="0.25">
      <c r="A58" s="9">
        <f t="shared" si="0"/>
        <v>55</v>
      </c>
      <c r="B58" s="9" t="s">
        <v>69</v>
      </c>
      <c r="C58" s="21" t="s">
        <v>340</v>
      </c>
      <c r="D58" s="21"/>
      <c r="E58" s="21"/>
      <c r="F58" s="56">
        <v>1156000</v>
      </c>
      <c r="G58" s="56">
        <v>0</v>
      </c>
      <c r="H58" s="56">
        <v>282000</v>
      </c>
      <c r="I58" s="56">
        <v>251000</v>
      </c>
      <c r="J58" s="56">
        <v>0</v>
      </c>
      <c r="K58" s="56">
        <v>302000</v>
      </c>
      <c r="L58" s="1"/>
      <c r="M58" s="1"/>
      <c r="N58" s="1"/>
      <c r="O58" s="1"/>
      <c r="P58" s="1"/>
      <c r="R58" s="1"/>
      <c r="S58" s="1"/>
      <c r="T58" s="1"/>
      <c r="U58" s="1"/>
      <c r="V58" s="1"/>
      <c r="X58" s="1"/>
      <c r="Y58" s="1"/>
      <c r="Z58" s="1"/>
      <c r="AA58" s="1"/>
      <c r="AB58" s="1"/>
      <c r="AD58" s="1"/>
      <c r="AE58" s="1"/>
      <c r="AF58" s="1"/>
      <c r="AG58" s="1"/>
      <c r="AH58" s="1"/>
      <c r="AP58" s="1"/>
      <c r="AQ58" s="1"/>
      <c r="AR58" s="1"/>
      <c r="AS58" s="1"/>
      <c r="AT58" s="1"/>
    </row>
    <row r="59" spans="1:46" x14ac:dyDescent="0.25">
      <c r="A59" s="9">
        <f t="shared" si="0"/>
        <v>56</v>
      </c>
      <c r="B59" s="9" t="s">
        <v>69</v>
      </c>
      <c r="C59" s="21" t="s">
        <v>76</v>
      </c>
      <c r="D59" s="21"/>
      <c r="E59" s="21"/>
      <c r="F59" s="56">
        <v>2011000</v>
      </c>
      <c r="G59" s="56">
        <v>0</v>
      </c>
      <c r="H59" s="56">
        <v>377000</v>
      </c>
      <c r="I59" s="56">
        <v>362000</v>
      </c>
      <c r="J59" s="56">
        <v>342000</v>
      </c>
      <c r="K59" s="56">
        <v>483000</v>
      </c>
      <c r="L59" s="1"/>
      <c r="M59" s="1"/>
      <c r="N59" s="1"/>
      <c r="O59" s="1"/>
      <c r="P59" s="1"/>
      <c r="R59" s="1"/>
      <c r="S59" s="1"/>
      <c r="T59" s="1"/>
      <c r="U59" s="1"/>
      <c r="V59" s="1"/>
      <c r="X59" s="1"/>
      <c r="Y59" s="1"/>
      <c r="Z59" s="1"/>
      <c r="AA59" s="1"/>
      <c r="AB59" s="1"/>
      <c r="AD59" s="1"/>
      <c r="AE59" s="1"/>
      <c r="AF59" s="1"/>
      <c r="AG59" s="1"/>
      <c r="AH59" s="1"/>
      <c r="AP59" s="1"/>
      <c r="AQ59" s="1"/>
      <c r="AR59" s="1"/>
      <c r="AS59" s="1"/>
      <c r="AT59" s="1"/>
    </row>
    <row r="60" spans="1:46" x14ac:dyDescent="0.25">
      <c r="A60" s="9">
        <f t="shared" si="0"/>
        <v>57</v>
      </c>
      <c r="B60" s="9" t="s">
        <v>69</v>
      </c>
      <c r="C60" s="21" t="s">
        <v>341</v>
      </c>
      <c r="D60" s="21"/>
      <c r="E60" s="21"/>
      <c r="F60" s="56">
        <v>1156000</v>
      </c>
      <c r="G60" s="56">
        <v>0</v>
      </c>
      <c r="H60" s="56">
        <v>282000</v>
      </c>
      <c r="I60" s="56">
        <v>251000</v>
      </c>
      <c r="J60" s="56">
        <v>0</v>
      </c>
      <c r="K60" s="56">
        <v>302000</v>
      </c>
      <c r="L60" s="1"/>
      <c r="M60" s="1"/>
      <c r="N60" s="1"/>
      <c r="O60" s="1"/>
      <c r="P60" s="1"/>
      <c r="R60" s="1"/>
      <c r="S60" s="1"/>
      <c r="T60" s="1"/>
      <c r="U60" s="1"/>
      <c r="V60" s="1"/>
      <c r="X60" s="1"/>
      <c r="Y60" s="1"/>
      <c r="Z60" s="1"/>
      <c r="AA60" s="1"/>
      <c r="AB60" s="1"/>
      <c r="AD60" s="1"/>
      <c r="AE60" s="1"/>
      <c r="AF60" s="1"/>
      <c r="AG60" s="1"/>
      <c r="AH60" s="1"/>
      <c r="AP60" s="1"/>
      <c r="AQ60" s="1"/>
      <c r="AR60" s="1"/>
      <c r="AS60" s="1"/>
      <c r="AT60" s="1"/>
    </row>
    <row r="61" spans="1:46" x14ac:dyDescent="0.25">
      <c r="A61" s="9">
        <f t="shared" si="0"/>
        <v>58</v>
      </c>
      <c r="B61" s="9" t="s">
        <v>69</v>
      </c>
      <c r="C61" s="21" t="s">
        <v>342</v>
      </c>
      <c r="D61" s="21"/>
      <c r="E61" s="21"/>
      <c r="F61" s="56">
        <v>1156000</v>
      </c>
      <c r="G61" s="56">
        <v>0</v>
      </c>
      <c r="H61" s="56">
        <v>282000</v>
      </c>
      <c r="I61" s="56">
        <v>251000</v>
      </c>
      <c r="J61" s="56">
        <v>0</v>
      </c>
      <c r="K61" s="56">
        <v>302000</v>
      </c>
      <c r="L61" s="1"/>
      <c r="M61" s="1"/>
      <c r="N61" s="1"/>
      <c r="O61" s="1"/>
      <c r="P61" s="1"/>
      <c r="R61" s="1"/>
      <c r="S61" s="1"/>
      <c r="T61" s="1"/>
      <c r="U61" s="1"/>
      <c r="V61" s="1"/>
      <c r="X61" s="1"/>
      <c r="Y61" s="1"/>
      <c r="Z61" s="1"/>
      <c r="AA61" s="1"/>
      <c r="AB61" s="1"/>
      <c r="AD61" s="1"/>
      <c r="AE61" s="1"/>
      <c r="AF61" s="1"/>
      <c r="AG61" s="1"/>
      <c r="AH61" s="1"/>
      <c r="AP61" s="1"/>
      <c r="AQ61" s="1"/>
      <c r="AR61" s="1"/>
      <c r="AS61" s="1"/>
      <c r="AT61" s="1"/>
    </row>
    <row r="62" spans="1:46" x14ac:dyDescent="0.25">
      <c r="A62" s="9">
        <f t="shared" si="0"/>
        <v>59</v>
      </c>
      <c r="B62" s="9" t="s">
        <v>69</v>
      </c>
      <c r="C62" s="21" t="s">
        <v>77</v>
      </c>
      <c r="D62" s="21"/>
      <c r="E62" s="21"/>
      <c r="F62" s="56">
        <v>1709000</v>
      </c>
      <c r="G62" s="56">
        <v>0</v>
      </c>
      <c r="H62" s="56">
        <v>337000</v>
      </c>
      <c r="I62" s="56">
        <v>276000</v>
      </c>
      <c r="J62" s="56">
        <v>0</v>
      </c>
      <c r="K62" s="56">
        <v>412000</v>
      </c>
      <c r="L62" s="1"/>
      <c r="M62" s="1"/>
      <c r="N62" s="1"/>
      <c r="O62" s="1"/>
      <c r="P62" s="1"/>
      <c r="R62" s="1"/>
      <c r="S62" s="1"/>
      <c r="T62" s="1"/>
      <c r="U62" s="1"/>
      <c r="V62" s="1"/>
      <c r="X62" s="1"/>
      <c r="Y62" s="1"/>
      <c r="Z62" s="1"/>
      <c r="AA62" s="1"/>
      <c r="AB62" s="1"/>
      <c r="AD62" s="1"/>
      <c r="AE62" s="1"/>
      <c r="AF62" s="1"/>
      <c r="AG62" s="1"/>
      <c r="AH62" s="1"/>
      <c r="AP62" s="1"/>
      <c r="AQ62" s="1"/>
      <c r="AR62" s="1"/>
      <c r="AS62" s="1"/>
      <c r="AT62" s="1"/>
    </row>
    <row r="63" spans="1:46" x14ac:dyDescent="0.25">
      <c r="A63" s="9">
        <f t="shared" si="0"/>
        <v>60</v>
      </c>
      <c r="B63" s="9" t="s">
        <v>69</v>
      </c>
      <c r="C63" s="21" t="s">
        <v>343</v>
      </c>
      <c r="D63" s="21"/>
      <c r="E63" s="21"/>
      <c r="F63" s="56">
        <v>1156000</v>
      </c>
      <c r="G63" s="56">
        <v>0</v>
      </c>
      <c r="H63" s="56">
        <v>282000</v>
      </c>
      <c r="I63" s="56">
        <v>251000</v>
      </c>
      <c r="J63" s="56">
        <v>0</v>
      </c>
      <c r="K63" s="56">
        <v>302000</v>
      </c>
      <c r="L63" s="1"/>
      <c r="M63" s="1"/>
      <c r="N63" s="1"/>
      <c r="O63" s="1"/>
      <c r="P63" s="1"/>
      <c r="R63" s="1"/>
      <c r="S63" s="1"/>
      <c r="T63" s="1"/>
      <c r="U63" s="1"/>
      <c r="V63" s="1"/>
      <c r="X63" s="1"/>
      <c r="Y63" s="1"/>
      <c r="Z63" s="1"/>
      <c r="AA63" s="1"/>
      <c r="AB63" s="1"/>
      <c r="AD63" s="1"/>
      <c r="AE63" s="1"/>
      <c r="AF63" s="1"/>
      <c r="AG63" s="1"/>
      <c r="AH63" s="1"/>
      <c r="AP63" s="1"/>
      <c r="AQ63" s="1"/>
      <c r="AR63" s="1"/>
      <c r="AS63" s="1"/>
      <c r="AT63" s="1"/>
    </row>
    <row r="64" spans="1:46" x14ac:dyDescent="0.25">
      <c r="A64" s="9">
        <f t="shared" si="0"/>
        <v>61</v>
      </c>
      <c r="B64" s="9" t="s">
        <v>69</v>
      </c>
      <c r="C64" s="48" t="s">
        <v>78</v>
      </c>
      <c r="D64" s="48"/>
      <c r="E64" s="48"/>
      <c r="F64" s="56">
        <v>2011000</v>
      </c>
      <c r="G64" s="56">
        <v>0</v>
      </c>
      <c r="H64" s="56">
        <v>377000</v>
      </c>
      <c r="I64" s="56">
        <v>362000</v>
      </c>
      <c r="J64" s="56">
        <v>342000</v>
      </c>
      <c r="K64" s="56">
        <v>483000</v>
      </c>
      <c r="L64" s="1"/>
      <c r="M64" s="1"/>
      <c r="N64" s="1"/>
      <c r="O64" s="1"/>
      <c r="P64" s="1"/>
      <c r="R64" s="1"/>
      <c r="S64" s="1"/>
      <c r="T64" s="1"/>
      <c r="U64" s="1"/>
      <c r="V64" s="1"/>
      <c r="X64" s="1"/>
      <c r="Y64" s="1"/>
      <c r="Z64" s="1"/>
      <c r="AA64" s="1"/>
      <c r="AB64" s="1"/>
      <c r="AD64" s="1"/>
      <c r="AE64" s="1"/>
      <c r="AF64" s="1"/>
      <c r="AG64" s="1"/>
      <c r="AH64" s="1"/>
      <c r="AP64" s="1"/>
      <c r="AQ64" s="1"/>
      <c r="AR64" s="1"/>
      <c r="AS64" s="1"/>
      <c r="AT64" s="1"/>
    </row>
    <row r="65" spans="1:46" x14ac:dyDescent="0.25">
      <c r="A65" s="9">
        <f t="shared" si="0"/>
        <v>62</v>
      </c>
      <c r="B65" s="9" t="s">
        <v>69</v>
      </c>
      <c r="C65" s="21" t="s">
        <v>351</v>
      </c>
      <c r="D65" s="21"/>
      <c r="E65" s="21"/>
      <c r="F65" s="56">
        <v>2011000</v>
      </c>
      <c r="G65" s="56">
        <v>0</v>
      </c>
      <c r="H65" s="56">
        <v>377000</v>
      </c>
      <c r="I65" s="56">
        <v>362000</v>
      </c>
      <c r="J65" s="56">
        <v>342000</v>
      </c>
      <c r="K65" s="56">
        <v>483000</v>
      </c>
      <c r="L65" s="1"/>
      <c r="M65" s="1"/>
      <c r="N65" s="1"/>
      <c r="O65" s="1"/>
      <c r="P65" s="1"/>
      <c r="R65" s="1"/>
      <c r="S65" s="1"/>
      <c r="T65" s="1"/>
      <c r="U65" s="1"/>
      <c r="V65" s="1"/>
      <c r="X65" s="1"/>
      <c r="Y65" s="1"/>
      <c r="Z65" s="1"/>
      <c r="AA65" s="1"/>
      <c r="AB65" s="1"/>
      <c r="AD65" s="1"/>
      <c r="AE65" s="1"/>
      <c r="AF65" s="1"/>
      <c r="AG65" s="1"/>
      <c r="AH65" s="1"/>
      <c r="AP65" s="1"/>
      <c r="AQ65" s="1"/>
      <c r="AR65" s="1"/>
      <c r="AS65" s="1"/>
      <c r="AT65" s="1"/>
    </row>
    <row r="66" spans="1:46" x14ac:dyDescent="0.25">
      <c r="A66" s="9">
        <f t="shared" si="0"/>
        <v>63</v>
      </c>
      <c r="B66" s="9" t="s">
        <v>79</v>
      </c>
      <c r="C66" s="46" t="s">
        <v>354</v>
      </c>
      <c r="D66" s="46"/>
      <c r="E66" s="46"/>
      <c r="F66" s="57">
        <v>0</v>
      </c>
      <c r="G66" s="57">
        <v>0</v>
      </c>
      <c r="H66" s="57">
        <v>402000</v>
      </c>
      <c r="I66" s="57">
        <v>362000</v>
      </c>
      <c r="J66" s="57">
        <v>342000</v>
      </c>
      <c r="K66" s="57">
        <v>503000</v>
      </c>
      <c r="L66" s="1"/>
      <c r="M66" s="1"/>
      <c r="N66" s="1"/>
      <c r="O66" s="1"/>
      <c r="P66" s="1"/>
      <c r="R66" s="1"/>
      <c r="S66" s="1"/>
      <c r="T66" s="1"/>
      <c r="U66" s="1"/>
      <c r="V66" s="1"/>
      <c r="X66" s="1"/>
      <c r="Y66" s="1"/>
      <c r="Z66" s="1"/>
      <c r="AA66" s="1"/>
      <c r="AB66" s="1"/>
      <c r="AD66" s="1"/>
      <c r="AE66" s="1"/>
      <c r="AF66" s="1"/>
      <c r="AG66" s="1"/>
      <c r="AH66" s="1"/>
      <c r="AP66" s="1"/>
      <c r="AQ66" s="1"/>
      <c r="AR66" s="1"/>
      <c r="AS66" s="1"/>
      <c r="AT66" s="1"/>
    </row>
    <row r="67" spans="1:46" x14ac:dyDescent="0.25">
      <c r="A67" s="9">
        <f t="shared" si="0"/>
        <v>64</v>
      </c>
      <c r="B67" s="9" t="s">
        <v>79</v>
      </c>
      <c r="C67" s="21" t="s">
        <v>104</v>
      </c>
      <c r="D67" s="21"/>
      <c r="E67" s="21"/>
      <c r="F67" s="56">
        <v>0</v>
      </c>
      <c r="G67" s="56">
        <v>0</v>
      </c>
      <c r="H67" s="56">
        <v>372000</v>
      </c>
      <c r="I67" s="56">
        <v>362000</v>
      </c>
      <c r="J67" s="56">
        <v>352000</v>
      </c>
      <c r="K67" s="56">
        <v>472000</v>
      </c>
      <c r="L67" s="1"/>
      <c r="M67" s="1"/>
      <c r="N67" s="1"/>
      <c r="O67" s="1"/>
      <c r="P67" s="1"/>
      <c r="R67" s="1"/>
      <c r="S67" s="1"/>
      <c r="T67" s="1"/>
      <c r="U67" s="1"/>
      <c r="V67" s="1"/>
      <c r="X67" s="1"/>
      <c r="Y67" s="1"/>
      <c r="Z67" s="1"/>
      <c r="AA67" s="1"/>
      <c r="AB67" s="1"/>
      <c r="AD67" s="1"/>
      <c r="AE67" s="1"/>
      <c r="AF67" s="1"/>
      <c r="AG67" s="1"/>
      <c r="AH67" s="1"/>
      <c r="AP67" s="1"/>
      <c r="AQ67" s="1"/>
      <c r="AR67" s="1"/>
      <c r="AS67" s="1"/>
      <c r="AT67" s="1"/>
    </row>
    <row r="68" spans="1:46" x14ac:dyDescent="0.25">
      <c r="A68" s="9">
        <f t="shared" si="0"/>
        <v>65</v>
      </c>
      <c r="B68" s="9" t="s">
        <v>79</v>
      </c>
      <c r="C68" s="21" t="s">
        <v>80</v>
      </c>
      <c r="D68" s="21"/>
      <c r="E68" s="21"/>
      <c r="F68" s="56">
        <v>0</v>
      </c>
      <c r="G68" s="56">
        <v>0</v>
      </c>
      <c r="H68" s="56">
        <v>377000</v>
      </c>
      <c r="I68" s="56">
        <v>332000</v>
      </c>
      <c r="J68" s="56">
        <v>302000</v>
      </c>
      <c r="K68" s="56">
        <v>472000</v>
      </c>
      <c r="L68" s="1"/>
      <c r="M68" s="1"/>
      <c r="N68" s="1"/>
      <c r="O68" s="1"/>
      <c r="P68" s="1"/>
      <c r="R68" s="1"/>
      <c r="S68" s="1"/>
      <c r="T68" s="1"/>
      <c r="U68" s="1"/>
      <c r="V68" s="1"/>
      <c r="X68" s="1"/>
      <c r="Y68" s="1"/>
      <c r="Z68" s="1"/>
      <c r="AA68" s="1"/>
      <c r="AB68" s="1"/>
      <c r="AD68" s="1"/>
      <c r="AE68" s="1"/>
      <c r="AF68" s="1"/>
      <c r="AG68" s="1"/>
      <c r="AH68" s="1"/>
      <c r="AP68" s="1"/>
      <c r="AQ68" s="1"/>
      <c r="AR68" s="1"/>
      <c r="AS68" s="1"/>
      <c r="AT68" s="1"/>
    </row>
    <row r="69" spans="1:46" x14ac:dyDescent="0.25">
      <c r="A69" s="9">
        <f t="shared" ref="A69:A132" si="1">A68+1</f>
        <v>66</v>
      </c>
      <c r="B69" s="51" t="s">
        <v>79</v>
      </c>
      <c r="C69" s="50" t="s">
        <v>415</v>
      </c>
      <c r="D69" s="50"/>
      <c r="E69" s="50"/>
      <c r="F69" s="58">
        <v>0</v>
      </c>
      <c r="G69" s="58">
        <v>0</v>
      </c>
      <c r="H69" s="58">
        <v>362000</v>
      </c>
      <c r="I69" s="58">
        <v>352000</v>
      </c>
      <c r="J69" s="58">
        <v>342000</v>
      </c>
      <c r="K69" s="58">
        <v>463000</v>
      </c>
      <c r="L69" s="1"/>
      <c r="M69" s="1"/>
      <c r="N69" s="1"/>
      <c r="O69" s="1"/>
      <c r="P69" s="1"/>
      <c r="R69" s="1"/>
      <c r="S69" s="1"/>
      <c r="T69" s="1"/>
      <c r="U69" s="1"/>
      <c r="V69" s="1"/>
      <c r="X69" s="1"/>
      <c r="Y69" s="1"/>
      <c r="Z69" s="1"/>
      <c r="AA69" s="1"/>
      <c r="AB69" s="1"/>
      <c r="AD69" s="1"/>
      <c r="AE69" s="1"/>
      <c r="AF69" s="1"/>
      <c r="AG69" s="1"/>
      <c r="AH69" s="1"/>
      <c r="AP69" s="1"/>
      <c r="AQ69" s="1"/>
      <c r="AR69" s="1"/>
      <c r="AS69" s="1"/>
      <c r="AT69" s="1"/>
    </row>
    <row r="70" spans="1:46" x14ac:dyDescent="0.25">
      <c r="A70" s="9">
        <f t="shared" si="1"/>
        <v>67</v>
      </c>
      <c r="B70" s="51" t="s">
        <v>79</v>
      </c>
      <c r="C70" s="50" t="s">
        <v>412</v>
      </c>
      <c r="D70" s="50"/>
      <c r="E70" s="50"/>
      <c r="F70" s="58">
        <v>0</v>
      </c>
      <c r="G70" s="58">
        <v>0</v>
      </c>
      <c r="H70" s="58">
        <v>372000</v>
      </c>
      <c r="I70" s="58">
        <v>362000</v>
      </c>
      <c r="J70" s="58">
        <v>352000</v>
      </c>
      <c r="K70" s="58">
        <v>472000</v>
      </c>
      <c r="L70" s="1"/>
      <c r="M70" s="1"/>
      <c r="N70" s="1"/>
      <c r="O70" s="1"/>
      <c r="P70" s="1"/>
      <c r="R70" s="1"/>
      <c r="S70" s="1"/>
      <c r="T70" s="1"/>
      <c r="U70" s="1"/>
      <c r="V70" s="1"/>
      <c r="X70" s="1"/>
      <c r="Y70" s="1"/>
      <c r="Z70" s="1"/>
      <c r="AA70" s="1"/>
      <c r="AB70" s="1"/>
      <c r="AD70" s="1"/>
      <c r="AE70" s="1"/>
      <c r="AF70" s="1"/>
      <c r="AG70" s="1"/>
      <c r="AH70" s="1"/>
      <c r="AP70" s="1"/>
      <c r="AQ70" s="1"/>
      <c r="AR70" s="1"/>
      <c r="AS70" s="1"/>
      <c r="AT70" s="1"/>
    </row>
    <row r="71" spans="1:46" x14ac:dyDescent="0.25">
      <c r="A71" s="9">
        <f t="shared" si="1"/>
        <v>68</v>
      </c>
      <c r="B71" s="51" t="s">
        <v>79</v>
      </c>
      <c r="C71" s="50" t="s">
        <v>352</v>
      </c>
      <c r="D71" s="50"/>
      <c r="E71" s="50"/>
      <c r="F71" s="58">
        <v>0</v>
      </c>
      <c r="G71" s="58">
        <v>0</v>
      </c>
      <c r="H71" s="58">
        <v>377000</v>
      </c>
      <c r="I71" s="58">
        <v>332000</v>
      </c>
      <c r="J71" s="58">
        <v>302000</v>
      </c>
      <c r="K71" s="58">
        <v>472000</v>
      </c>
      <c r="L71" s="1"/>
      <c r="M71" s="1"/>
      <c r="N71" s="1"/>
      <c r="O71" s="1"/>
      <c r="P71" s="1"/>
      <c r="R71" s="1"/>
      <c r="S71" s="1"/>
      <c r="T71" s="1"/>
      <c r="U71" s="1"/>
      <c r="V71" s="1"/>
      <c r="X71" s="1"/>
      <c r="Y71" s="1"/>
      <c r="Z71" s="1"/>
      <c r="AA71" s="1"/>
      <c r="AB71" s="1"/>
      <c r="AD71" s="1"/>
      <c r="AE71" s="1"/>
      <c r="AF71" s="1"/>
      <c r="AG71" s="1"/>
      <c r="AH71" s="1"/>
      <c r="AP71" s="1"/>
      <c r="AQ71" s="1"/>
      <c r="AR71" s="1"/>
      <c r="AS71" s="1"/>
      <c r="AT71" s="1"/>
    </row>
    <row r="72" spans="1:46" x14ac:dyDescent="0.25">
      <c r="A72" s="9">
        <f t="shared" si="1"/>
        <v>69</v>
      </c>
      <c r="B72" s="51" t="s">
        <v>79</v>
      </c>
      <c r="C72" s="50" t="s">
        <v>416</v>
      </c>
      <c r="D72" s="50"/>
      <c r="E72" s="50"/>
      <c r="F72" s="58">
        <v>0</v>
      </c>
      <c r="G72" s="58">
        <v>0</v>
      </c>
      <c r="H72" s="58">
        <v>362000</v>
      </c>
      <c r="I72" s="58">
        <v>352000</v>
      </c>
      <c r="J72" s="58">
        <v>342000</v>
      </c>
      <c r="K72" s="58">
        <v>463000</v>
      </c>
      <c r="L72" s="1"/>
      <c r="M72" s="1"/>
      <c r="N72" s="1"/>
      <c r="O72" s="1"/>
      <c r="P72" s="1"/>
      <c r="R72" s="1"/>
      <c r="S72" s="1"/>
      <c r="T72" s="1"/>
      <c r="U72" s="1"/>
      <c r="V72" s="1"/>
      <c r="X72" s="1"/>
      <c r="Y72" s="1"/>
      <c r="Z72" s="1"/>
      <c r="AA72" s="1"/>
      <c r="AB72" s="1"/>
      <c r="AD72" s="1"/>
      <c r="AE72" s="1"/>
      <c r="AF72" s="1"/>
      <c r="AG72" s="1"/>
      <c r="AH72" s="1"/>
      <c r="AP72" s="1"/>
      <c r="AQ72" s="1"/>
      <c r="AR72" s="1"/>
      <c r="AS72" s="1"/>
      <c r="AT72" s="1"/>
    </row>
    <row r="73" spans="1:46" x14ac:dyDescent="0.25">
      <c r="A73" s="9">
        <f t="shared" si="1"/>
        <v>70</v>
      </c>
      <c r="B73" s="51" t="s">
        <v>79</v>
      </c>
      <c r="C73" s="50" t="s">
        <v>105</v>
      </c>
      <c r="D73" s="50"/>
      <c r="E73" s="50"/>
      <c r="F73" s="58">
        <v>0</v>
      </c>
      <c r="G73" s="58">
        <v>0</v>
      </c>
      <c r="H73" s="58">
        <v>362000</v>
      </c>
      <c r="I73" s="58">
        <v>352000</v>
      </c>
      <c r="J73" s="58">
        <v>342000</v>
      </c>
      <c r="K73" s="58">
        <v>463000</v>
      </c>
      <c r="L73" s="1"/>
      <c r="M73" s="1"/>
      <c r="N73" s="1"/>
      <c r="O73" s="1"/>
      <c r="P73" s="1"/>
      <c r="R73" s="1"/>
      <c r="S73" s="1"/>
      <c r="T73" s="1"/>
      <c r="U73" s="1"/>
      <c r="V73" s="1"/>
      <c r="X73" s="1"/>
      <c r="Y73" s="1"/>
      <c r="Z73" s="1"/>
      <c r="AA73" s="1"/>
      <c r="AB73" s="1"/>
      <c r="AD73" s="1"/>
      <c r="AE73" s="1"/>
      <c r="AF73" s="1"/>
      <c r="AG73" s="1"/>
      <c r="AH73" s="1"/>
      <c r="AP73" s="1"/>
      <c r="AQ73" s="1"/>
      <c r="AR73" s="1"/>
      <c r="AS73" s="1"/>
      <c r="AT73" s="1"/>
    </row>
    <row r="74" spans="1:46" x14ac:dyDescent="0.25">
      <c r="A74" s="9">
        <f t="shared" si="1"/>
        <v>71</v>
      </c>
      <c r="B74" s="51" t="s">
        <v>79</v>
      </c>
      <c r="C74" s="50" t="s">
        <v>413</v>
      </c>
      <c r="D74" s="50"/>
      <c r="E74" s="50"/>
      <c r="F74" s="58">
        <v>0</v>
      </c>
      <c r="G74" s="58">
        <v>0</v>
      </c>
      <c r="H74" s="58">
        <v>372000</v>
      </c>
      <c r="I74" s="58">
        <v>362000</v>
      </c>
      <c r="J74" s="58">
        <v>352000</v>
      </c>
      <c r="K74" s="58">
        <v>472000</v>
      </c>
      <c r="L74" s="1"/>
      <c r="M74" s="1"/>
      <c r="N74" s="1"/>
      <c r="O74" s="1"/>
      <c r="P74" s="1"/>
      <c r="R74" s="1"/>
      <c r="S74" s="1"/>
      <c r="T74" s="1"/>
      <c r="U74" s="1"/>
      <c r="V74" s="1"/>
      <c r="X74" s="1"/>
      <c r="Y74" s="1"/>
      <c r="Z74" s="1"/>
      <c r="AA74" s="1"/>
      <c r="AB74" s="1"/>
      <c r="AD74" s="1"/>
      <c r="AE74" s="1"/>
      <c r="AF74" s="1"/>
      <c r="AG74" s="1"/>
      <c r="AH74" s="1"/>
      <c r="AP74" s="1"/>
      <c r="AQ74" s="1"/>
      <c r="AR74" s="1"/>
      <c r="AS74" s="1"/>
      <c r="AT74" s="1"/>
    </row>
    <row r="75" spans="1:46" x14ac:dyDescent="0.25">
      <c r="A75" s="9">
        <f t="shared" si="1"/>
        <v>72</v>
      </c>
      <c r="B75" s="51" t="s">
        <v>79</v>
      </c>
      <c r="C75" s="50" t="s">
        <v>82</v>
      </c>
      <c r="D75" s="50"/>
      <c r="E75" s="50"/>
      <c r="F75" s="58">
        <v>0</v>
      </c>
      <c r="G75" s="58">
        <v>0</v>
      </c>
      <c r="H75" s="58">
        <v>352000</v>
      </c>
      <c r="I75" s="58">
        <v>312000</v>
      </c>
      <c r="J75" s="58">
        <v>302000</v>
      </c>
      <c r="K75" s="58">
        <v>412000</v>
      </c>
      <c r="L75" s="1"/>
      <c r="M75" s="1"/>
      <c r="N75" s="1"/>
      <c r="O75" s="1"/>
      <c r="P75" s="1"/>
      <c r="R75" s="1"/>
      <c r="S75" s="1"/>
      <c r="T75" s="1"/>
      <c r="U75" s="1"/>
      <c r="V75" s="1"/>
      <c r="X75" s="1"/>
      <c r="Y75" s="1"/>
      <c r="Z75" s="1"/>
      <c r="AA75" s="1"/>
      <c r="AB75" s="1"/>
      <c r="AD75" s="1"/>
      <c r="AE75" s="1"/>
      <c r="AF75" s="1"/>
      <c r="AG75" s="1"/>
      <c r="AH75" s="1"/>
      <c r="AP75" s="1"/>
      <c r="AQ75" s="1"/>
      <c r="AR75" s="1"/>
      <c r="AS75" s="1"/>
      <c r="AT75" s="1"/>
    </row>
    <row r="76" spans="1:46" x14ac:dyDescent="0.25">
      <c r="A76" s="9">
        <f t="shared" si="1"/>
        <v>73</v>
      </c>
      <c r="B76" s="51" t="s">
        <v>79</v>
      </c>
      <c r="C76" s="50" t="s">
        <v>414</v>
      </c>
      <c r="D76" s="50"/>
      <c r="E76" s="50"/>
      <c r="F76" s="58">
        <v>0</v>
      </c>
      <c r="G76" s="58">
        <v>0</v>
      </c>
      <c r="H76" s="58">
        <v>372000</v>
      </c>
      <c r="I76" s="58">
        <v>362000</v>
      </c>
      <c r="J76" s="58">
        <v>352000</v>
      </c>
      <c r="K76" s="58">
        <v>472000</v>
      </c>
      <c r="L76" s="1"/>
      <c r="M76" s="1"/>
      <c r="N76" s="1"/>
      <c r="O76" s="1"/>
      <c r="P76" s="1"/>
      <c r="R76" s="1"/>
      <c r="S76" s="1"/>
      <c r="T76" s="1"/>
      <c r="U76" s="1"/>
      <c r="V76" s="1"/>
      <c r="X76" s="1"/>
      <c r="Y76" s="1"/>
      <c r="Z76" s="1"/>
      <c r="AA76" s="1"/>
      <c r="AB76" s="1"/>
      <c r="AD76" s="1"/>
      <c r="AE76" s="1"/>
      <c r="AF76" s="1"/>
      <c r="AG76" s="1"/>
      <c r="AH76" s="1"/>
      <c r="AP76" s="1"/>
      <c r="AQ76" s="1"/>
      <c r="AR76" s="1"/>
      <c r="AS76" s="1"/>
      <c r="AT76" s="1"/>
    </row>
    <row r="77" spans="1:46" x14ac:dyDescent="0.25">
      <c r="A77" s="9">
        <f t="shared" si="1"/>
        <v>74</v>
      </c>
      <c r="B77" s="51" t="s">
        <v>79</v>
      </c>
      <c r="C77" s="50" t="s">
        <v>356</v>
      </c>
      <c r="D77" s="50"/>
      <c r="E77" s="50"/>
      <c r="F77" s="58">
        <v>0</v>
      </c>
      <c r="G77" s="58">
        <v>0</v>
      </c>
      <c r="H77" s="58">
        <v>352000</v>
      </c>
      <c r="I77" s="58">
        <v>312000</v>
      </c>
      <c r="J77" s="58">
        <v>302000</v>
      </c>
      <c r="K77" s="58">
        <v>412000</v>
      </c>
      <c r="L77" s="1"/>
      <c r="M77" s="1"/>
      <c r="N77" s="1"/>
      <c r="O77" s="1"/>
      <c r="P77" s="1"/>
      <c r="R77" s="1"/>
      <c r="S77" s="1"/>
      <c r="T77" s="1"/>
      <c r="U77" s="1"/>
      <c r="V77" s="1"/>
      <c r="X77" s="1"/>
      <c r="Y77" s="1"/>
      <c r="Z77" s="1"/>
      <c r="AA77" s="1"/>
      <c r="AB77" s="1"/>
      <c r="AD77" s="1"/>
      <c r="AE77" s="1"/>
      <c r="AF77" s="1"/>
      <c r="AG77" s="1"/>
      <c r="AH77" s="1"/>
      <c r="AP77" s="1"/>
      <c r="AQ77" s="1"/>
      <c r="AR77" s="1"/>
      <c r="AS77" s="1"/>
      <c r="AT77" s="1"/>
    </row>
    <row r="78" spans="1:46" x14ac:dyDescent="0.25">
      <c r="A78" s="9">
        <f t="shared" si="1"/>
        <v>75</v>
      </c>
      <c r="B78" s="51" t="s">
        <v>79</v>
      </c>
      <c r="C78" s="50" t="s">
        <v>417</v>
      </c>
      <c r="D78" s="50"/>
      <c r="E78" s="50"/>
      <c r="F78" s="58">
        <v>0</v>
      </c>
      <c r="G78" s="58">
        <v>0</v>
      </c>
      <c r="H78" s="58">
        <v>362000</v>
      </c>
      <c r="I78" s="58">
        <v>352000</v>
      </c>
      <c r="J78" s="58">
        <v>342000</v>
      </c>
      <c r="K78" s="58">
        <v>463000</v>
      </c>
      <c r="L78" s="1"/>
      <c r="M78" s="1"/>
      <c r="N78" s="1"/>
      <c r="O78" s="1"/>
      <c r="P78" s="1"/>
      <c r="R78" s="1"/>
      <c r="S78" s="1"/>
      <c r="T78" s="1"/>
      <c r="U78" s="1"/>
      <c r="V78" s="1"/>
      <c r="X78" s="1"/>
      <c r="Y78" s="1"/>
      <c r="Z78" s="1"/>
      <c r="AA78" s="1"/>
      <c r="AB78" s="1"/>
      <c r="AD78" s="1"/>
      <c r="AE78" s="1"/>
      <c r="AF78" s="1"/>
      <c r="AG78" s="1"/>
      <c r="AH78" s="1"/>
      <c r="AP78" s="1"/>
      <c r="AQ78" s="1"/>
      <c r="AR78" s="1"/>
      <c r="AS78" s="1"/>
      <c r="AT78" s="1"/>
    </row>
    <row r="79" spans="1:46" x14ac:dyDescent="0.25">
      <c r="A79" s="9">
        <f t="shared" si="1"/>
        <v>76</v>
      </c>
      <c r="B79" s="51" t="s">
        <v>79</v>
      </c>
      <c r="C79" s="50" t="s">
        <v>353</v>
      </c>
      <c r="D79" s="50"/>
      <c r="E79" s="50"/>
      <c r="F79" s="58">
        <v>0</v>
      </c>
      <c r="G79" s="58">
        <v>0</v>
      </c>
      <c r="H79" s="58">
        <v>377000</v>
      </c>
      <c r="I79" s="58">
        <v>332000</v>
      </c>
      <c r="J79" s="58">
        <v>302000</v>
      </c>
      <c r="K79" s="58">
        <v>472000</v>
      </c>
      <c r="L79" s="1"/>
      <c r="M79" s="1"/>
      <c r="N79" s="1"/>
      <c r="O79" s="1"/>
      <c r="P79" s="1"/>
      <c r="R79" s="1"/>
      <c r="S79" s="1"/>
      <c r="T79" s="1"/>
      <c r="U79" s="1"/>
      <c r="V79" s="1"/>
      <c r="X79" s="1"/>
      <c r="Y79" s="1"/>
      <c r="Z79" s="1"/>
      <c r="AA79" s="1"/>
      <c r="AB79" s="1"/>
      <c r="AD79" s="1"/>
      <c r="AE79" s="1"/>
      <c r="AF79" s="1"/>
      <c r="AG79" s="1"/>
      <c r="AH79" s="1"/>
      <c r="AP79" s="1"/>
      <c r="AQ79" s="1"/>
      <c r="AR79" s="1"/>
      <c r="AS79" s="1"/>
      <c r="AT79" s="1"/>
    </row>
    <row r="80" spans="1:46" x14ac:dyDescent="0.25">
      <c r="A80" s="9">
        <f t="shared" si="1"/>
        <v>77</v>
      </c>
      <c r="B80" s="51" t="s">
        <v>79</v>
      </c>
      <c r="C80" s="50" t="s">
        <v>355</v>
      </c>
      <c r="D80" s="50"/>
      <c r="E80" s="50"/>
      <c r="F80" s="58">
        <v>0</v>
      </c>
      <c r="G80" s="58">
        <v>0</v>
      </c>
      <c r="H80" s="58">
        <v>402000</v>
      </c>
      <c r="I80" s="58">
        <v>362000</v>
      </c>
      <c r="J80" s="58">
        <v>342000</v>
      </c>
      <c r="K80" s="58">
        <v>503000</v>
      </c>
      <c r="L80" s="1"/>
      <c r="M80" s="1"/>
      <c r="N80" s="1"/>
      <c r="O80" s="1"/>
      <c r="P80" s="1"/>
      <c r="R80" s="1"/>
      <c r="S80" s="1"/>
      <c r="T80" s="1"/>
      <c r="U80" s="1"/>
      <c r="V80" s="1"/>
      <c r="X80" s="1"/>
      <c r="Y80" s="1"/>
      <c r="Z80" s="1"/>
      <c r="AA80" s="1"/>
      <c r="AB80" s="1"/>
      <c r="AD80" s="1"/>
      <c r="AE80" s="1"/>
      <c r="AF80" s="1"/>
      <c r="AG80" s="1"/>
      <c r="AH80" s="1"/>
      <c r="AP80" s="1"/>
      <c r="AQ80" s="1"/>
      <c r="AR80" s="1"/>
      <c r="AS80" s="1"/>
      <c r="AT80" s="1"/>
    </row>
    <row r="81" spans="1:46" x14ac:dyDescent="0.25">
      <c r="A81" s="9">
        <f t="shared" si="1"/>
        <v>78</v>
      </c>
      <c r="B81" s="51" t="s">
        <v>79</v>
      </c>
      <c r="C81" s="50" t="s">
        <v>418</v>
      </c>
      <c r="D81" s="50"/>
      <c r="E81" s="50"/>
      <c r="F81" s="58">
        <v>0</v>
      </c>
      <c r="G81" s="58">
        <v>0</v>
      </c>
      <c r="H81" s="58">
        <v>362000</v>
      </c>
      <c r="I81" s="58">
        <v>352000</v>
      </c>
      <c r="J81" s="58">
        <v>342000</v>
      </c>
      <c r="K81" s="58">
        <v>463000</v>
      </c>
      <c r="L81" s="1"/>
      <c r="M81" s="1"/>
      <c r="N81" s="1"/>
      <c r="O81" s="1"/>
      <c r="P81" s="1"/>
      <c r="R81" s="1"/>
      <c r="S81" s="1"/>
      <c r="T81" s="1"/>
      <c r="U81" s="1"/>
      <c r="V81" s="1"/>
      <c r="X81" s="1"/>
      <c r="Y81" s="1"/>
      <c r="Z81" s="1"/>
      <c r="AA81" s="1"/>
      <c r="AB81" s="1"/>
      <c r="AD81" s="1"/>
      <c r="AE81" s="1"/>
      <c r="AF81" s="1"/>
      <c r="AG81" s="1"/>
      <c r="AH81" s="1"/>
      <c r="AP81" s="1"/>
      <c r="AQ81" s="1"/>
      <c r="AR81" s="1"/>
      <c r="AS81" s="1"/>
      <c r="AT81" s="1"/>
    </row>
    <row r="82" spans="1:46" x14ac:dyDescent="0.25">
      <c r="A82" s="9">
        <f t="shared" si="1"/>
        <v>79</v>
      </c>
      <c r="B82" s="51" t="s">
        <v>83</v>
      </c>
      <c r="C82" s="50" t="s">
        <v>460</v>
      </c>
      <c r="D82" s="50"/>
      <c r="E82" s="50"/>
      <c r="F82" s="58">
        <v>0</v>
      </c>
      <c r="G82" s="58">
        <v>0</v>
      </c>
      <c r="H82" s="58">
        <v>1106000</v>
      </c>
      <c r="I82" s="58">
        <v>1055000</v>
      </c>
      <c r="J82" s="58">
        <v>1046000</v>
      </c>
      <c r="K82" s="58">
        <v>0</v>
      </c>
      <c r="L82" s="1"/>
      <c r="M82" s="1"/>
      <c r="N82" s="1"/>
      <c r="O82" s="1"/>
      <c r="P82" s="1"/>
      <c r="R82" s="1"/>
      <c r="S82" s="1"/>
      <c r="T82" s="1"/>
      <c r="U82" s="1"/>
      <c r="V82" s="1"/>
      <c r="X82" s="1"/>
      <c r="Y82" s="1"/>
      <c r="Z82" s="1"/>
      <c r="AA82" s="1"/>
      <c r="AB82" s="1"/>
      <c r="AD82" s="1"/>
      <c r="AE82" s="1"/>
      <c r="AF82" s="1"/>
      <c r="AG82" s="1"/>
      <c r="AH82" s="1"/>
      <c r="AP82" s="1"/>
      <c r="AQ82" s="1"/>
      <c r="AR82" s="1"/>
      <c r="AS82" s="1"/>
      <c r="AT82" s="1"/>
    </row>
    <row r="83" spans="1:46" x14ac:dyDescent="0.25">
      <c r="A83" s="9">
        <f t="shared" si="1"/>
        <v>80</v>
      </c>
      <c r="B83" s="51" t="s">
        <v>83</v>
      </c>
      <c r="C83" s="50" t="s">
        <v>297</v>
      </c>
      <c r="D83" s="50"/>
      <c r="E83" s="50"/>
      <c r="F83" s="58">
        <v>0</v>
      </c>
      <c r="G83" s="58">
        <v>0</v>
      </c>
      <c r="H83" s="58">
        <v>1156000</v>
      </c>
      <c r="I83" s="58">
        <v>1127000</v>
      </c>
      <c r="J83" s="58">
        <v>0</v>
      </c>
      <c r="K83" s="58">
        <v>0</v>
      </c>
      <c r="L83" s="1"/>
      <c r="M83" s="1"/>
      <c r="N83" s="1"/>
      <c r="O83" s="1"/>
      <c r="P83" s="1"/>
      <c r="R83" s="1"/>
      <c r="S83" s="1"/>
      <c r="T83" s="1"/>
      <c r="U83" s="1"/>
      <c r="V83" s="1"/>
      <c r="X83" s="1"/>
      <c r="Y83" s="1"/>
      <c r="Z83" s="1"/>
      <c r="AA83" s="1"/>
      <c r="AB83" s="1"/>
      <c r="AD83" s="1"/>
      <c r="AE83" s="1"/>
      <c r="AF83" s="1"/>
      <c r="AG83" s="1"/>
      <c r="AH83" s="1"/>
      <c r="AP83" s="1"/>
      <c r="AQ83" s="1"/>
      <c r="AR83" s="1"/>
      <c r="AS83" s="1"/>
      <c r="AT83" s="1"/>
    </row>
    <row r="84" spans="1:46" x14ac:dyDescent="0.25">
      <c r="A84" s="9">
        <f t="shared" si="1"/>
        <v>81</v>
      </c>
      <c r="B84" s="51" t="s">
        <v>83</v>
      </c>
      <c r="C84" s="50" t="s">
        <v>298</v>
      </c>
      <c r="D84" s="50"/>
      <c r="E84" s="50"/>
      <c r="F84" s="58">
        <v>0</v>
      </c>
      <c r="G84" s="58">
        <v>0</v>
      </c>
      <c r="H84" s="58">
        <v>1156000</v>
      </c>
      <c r="I84" s="58">
        <v>1127000</v>
      </c>
      <c r="J84" s="58">
        <v>0</v>
      </c>
      <c r="K84" s="58">
        <v>0</v>
      </c>
      <c r="L84" s="1"/>
      <c r="M84" s="1"/>
      <c r="N84" s="1"/>
      <c r="O84" s="1"/>
      <c r="P84" s="1"/>
      <c r="R84" s="1"/>
      <c r="S84" s="1"/>
      <c r="T84" s="1"/>
      <c r="U84" s="1"/>
      <c r="V84" s="1"/>
      <c r="X84" s="1"/>
      <c r="Y84" s="1"/>
      <c r="Z84" s="1"/>
      <c r="AA84" s="1"/>
      <c r="AB84" s="1"/>
      <c r="AD84" s="1"/>
      <c r="AE84" s="1"/>
      <c r="AF84" s="1"/>
      <c r="AG84" s="1"/>
      <c r="AH84" s="1"/>
      <c r="AP84" s="1"/>
      <c r="AQ84" s="1"/>
      <c r="AR84" s="1"/>
      <c r="AS84" s="1"/>
      <c r="AT84" s="1"/>
    </row>
    <row r="85" spans="1:46" x14ac:dyDescent="0.25">
      <c r="A85" s="9">
        <f t="shared" si="1"/>
        <v>82</v>
      </c>
      <c r="B85" s="51" t="s">
        <v>83</v>
      </c>
      <c r="C85" s="50" t="s">
        <v>705</v>
      </c>
      <c r="D85" s="50"/>
      <c r="E85" s="50"/>
      <c r="F85" s="58">
        <v>0</v>
      </c>
      <c r="G85" s="58">
        <v>0</v>
      </c>
      <c r="H85" s="58">
        <v>1005000</v>
      </c>
      <c r="I85" s="58">
        <v>996000</v>
      </c>
      <c r="J85" s="58">
        <v>0</v>
      </c>
      <c r="K85" s="58">
        <v>0</v>
      </c>
      <c r="L85" s="1"/>
      <c r="M85" s="1"/>
      <c r="N85" s="1"/>
      <c r="O85" s="1"/>
      <c r="P85" s="1"/>
      <c r="R85" s="1"/>
      <c r="S85" s="1"/>
      <c r="T85" s="1"/>
      <c r="U85" s="1"/>
      <c r="V85" s="1"/>
      <c r="X85" s="1"/>
      <c r="Y85" s="1"/>
      <c r="Z85" s="1"/>
      <c r="AA85" s="1"/>
      <c r="AB85" s="1"/>
      <c r="AD85" s="1"/>
      <c r="AE85" s="1"/>
      <c r="AF85" s="1"/>
      <c r="AG85" s="1"/>
      <c r="AH85" s="1"/>
      <c r="AP85" s="1"/>
      <c r="AQ85" s="1"/>
      <c r="AR85" s="1"/>
      <c r="AS85" s="1"/>
      <c r="AT85" s="1"/>
    </row>
    <row r="86" spans="1:46" x14ac:dyDescent="0.25">
      <c r="A86" s="9">
        <f t="shared" si="1"/>
        <v>83</v>
      </c>
      <c r="B86" s="51" t="s">
        <v>83</v>
      </c>
      <c r="C86" s="50" t="s">
        <v>31</v>
      </c>
      <c r="D86" s="50"/>
      <c r="E86" s="50"/>
      <c r="F86" s="58">
        <v>0</v>
      </c>
      <c r="G86" s="58">
        <v>0</v>
      </c>
      <c r="H86" s="58">
        <v>1055000</v>
      </c>
      <c r="I86" s="58">
        <v>1005000</v>
      </c>
      <c r="J86" s="58">
        <v>0</v>
      </c>
      <c r="K86" s="58">
        <v>0</v>
      </c>
      <c r="L86" s="1"/>
      <c r="M86" s="1"/>
      <c r="N86" s="1"/>
      <c r="O86" s="1"/>
      <c r="P86" s="1"/>
      <c r="R86" s="1"/>
      <c r="S86" s="1"/>
      <c r="T86" s="1"/>
      <c r="U86" s="1"/>
      <c r="V86" s="1"/>
      <c r="X86" s="1"/>
      <c r="Y86" s="1"/>
      <c r="Z86" s="1"/>
      <c r="AA86" s="1"/>
      <c r="AB86" s="1"/>
      <c r="AD86" s="1"/>
      <c r="AE86" s="1"/>
      <c r="AF86" s="1"/>
      <c r="AG86" s="1"/>
      <c r="AH86" s="1"/>
      <c r="AP86" s="1"/>
      <c r="AQ86" s="1"/>
      <c r="AR86" s="1"/>
      <c r="AS86" s="1"/>
      <c r="AT86" s="1"/>
    </row>
    <row r="87" spans="1:46" x14ac:dyDescent="0.25">
      <c r="A87" s="9">
        <f t="shared" si="1"/>
        <v>84</v>
      </c>
      <c r="B87" s="51" t="s">
        <v>83</v>
      </c>
      <c r="C87" s="50" t="s">
        <v>299</v>
      </c>
      <c r="D87" s="50"/>
      <c r="E87" s="50"/>
      <c r="F87" s="58">
        <v>0</v>
      </c>
      <c r="G87" s="58">
        <v>0</v>
      </c>
      <c r="H87" s="58">
        <v>1156000</v>
      </c>
      <c r="I87" s="58">
        <v>1127000</v>
      </c>
      <c r="J87" s="58">
        <v>0</v>
      </c>
      <c r="K87" s="58">
        <v>0</v>
      </c>
      <c r="L87" s="1"/>
      <c r="M87" s="1"/>
      <c r="N87" s="1"/>
      <c r="O87" s="1"/>
      <c r="P87" s="1"/>
      <c r="R87" s="1"/>
      <c r="S87" s="1"/>
      <c r="T87" s="1"/>
      <c r="U87" s="1"/>
      <c r="V87" s="1"/>
      <c r="X87" s="1"/>
      <c r="Y87" s="1"/>
      <c r="Z87" s="1"/>
      <c r="AA87" s="1"/>
      <c r="AB87" s="1"/>
      <c r="AD87" s="1"/>
      <c r="AE87" s="1"/>
      <c r="AF87" s="1"/>
      <c r="AG87" s="1"/>
      <c r="AH87" s="1"/>
      <c r="AP87" s="1"/>
      <c r="AQ87" s="1"/>
      <c r="AR87" s="1"/>
      <c r="AS87" s="1"/>
      <c r="AT87" s="1"/>
    </row>
    <row r="88" spans="1:46" x14ac:dyDescent="0.25">
      <c r="A88" s="9">
        <f t="shared" si="1"/>
        <v>85</v>
      </c>
      <c r="B88" s="51" t="s">
        <v>83</v>
      </c>
      <c r="C88" s="50" t="s">
        <v>86</v>
      </c>
      <c r="D88" s="50"/>
      <c r="E88" s="50"/>
      <c r="F88" s="58">
        <v>0</v>
      </c>
      <c r="G88" s="58">
        <v>0</v>
      </c>
      <c r="H88" s="58">
        <v>1005000</v>
      </c>
      <c r="I88" s="58">
        <v>996000</v>
      </c>
      <c r="J88" s="58">
        <v>0</v>
      </c>
      <c r="K88" s="58">
        <v>0</v>
      </c>
      <c r="L88" s="1"/>
      <c r="M88" s="1"/>
      <c r="N88" s="1"/>
      <c r="O88" s="1"/>
      <c r="P88" s="1"/>
      <c r="R88" s="1"/>
      <c r="S88" s="1"/>
      <c r="T88" s="1"/>
      <c r="U88" s="1"/>
      <c r="V88" s="1"/>
      <c r="X88" s="1"/>
      <c r="Y88" s="1"/>
      <c r="Z88" s="1"/>
      <c r="AA88" s="1"/>
      <c r="AB88" s="1"/>
      <c r="AD88" s="1"/>
      <c r="AE88" s="1"/>
      <c r="AF88" s="1"/>
      <c r="AG88" s="1"/>
      <c r="AH88" s="1"/>
      <c r="AP88" s="1"/>
      <c r="AQ88" s="1"/>
      <c r="AR88" s="1"/>
      <c r="AS88" s="1"/>
      <c r="AT88" s="1"/>
    </row>
    <row r="89" spans="1:46" x14ac:dyDescent="0.25">
      <c r="A89" s="9">
        <f t="shared" si="1"/>
        <v>86</v>
      </c>
      <c r="B89" s="51" t="s">
        <v>83</v>
      </c>
      <c r="C89" s="50" t="s">
        <v>357</v>
      </c>
      <c r="D89" s="50"/>
      <c r="E89" s="50"/>
      <c r="F89" s="58">
        <v>0</v>
      </c>
      <c r="G89" s="58">
        <v>0</v>
      </c>
      <c r="H89" s="58">
        <v>955000</v>
      </c>
      <c r="I89" s="58">
        <v>945000</v>
      </c>
      <c r="J89" s="58">
        <v>935000</v>
      </c>
      <c r="K89" s="58">
        <v>0</v>
      </c>
      <c r="L89" s="1"/>
      <c r="M89" s="1"/>
      <c r="N89" s="1"/>
      <c r="O89" s="1"/>
      <c r="P89" s="1"/>
      <c r="R89" s="1"/>
      <c r="S89" s="1"/>
      <c r="T89" s="1"/>
      <c r="U89" s="1"/>
      <c r="V89" s="1"/>
      <c r="X89" s="1"/>
      <c r="Y89" s="1"/>
      <c r="Z89" s="1"/>
      <c r="AA89" s="1"/>
      <c r="AB89" s="1"/>
      <c r="AD89" s="1"/>
      <c r="AE89" s="1"/>
      <c r="AF89" s="1"/>
      <c r="AG89" s="1"/>
      <c r="AH89" s="1"/>
      <c r="AP89" s="1"/>
      <c r="AQ89" s="1"/>
      <c r="AR89" s="1"/>
      <c r="AS89" s="1"/>
      <c r="AT89" s="1"/>
    </row>
    <row r="90" spans="1:46" x14ac:dyDescent="0.25">
      <c r="A90" s="9">
        <f t="shared" si="1"/>
        <v>87</v>
      </c>
      <c r="B90" s="51" t="s">
        <v>83</v>
      </c>
      <c r="C90" s="50" t="s">
        <v>358</v>
      </c>
      <c r="D90" s="50"/>
      <c r="E90" s="50"/>
      <c r="F90" s="58">
        <v>0</v>
      </c>
      <c r="G90" s="58">
        <v>0</v>
      </c>
      <c r="H90" s="58">
        <v>955000</v>
      </c>
      <c r="I90" s="58">
        <v>945000</v>
      </c>
      <c r="J90" s="58">
        <v>935000</v>
      </c>
      <c r="K90" s="58">
        <v>0</v>
      </c>
      <c r="L90" s="1"/>
      <c r="M90" s="1"/>
      <c r="N90" s="1"/>
      <c r="O90" s="1"/>
      <c r="P90" s="1"/>
      <c r="R90" s="1"/>
      <c r="S90" s="1"/>
      <c r="T90" s="1"/>
      <c r="U90" s="1"/>
      <c r="V90" s="1"/>
      <c r="X90" s="1"/>
      <c r="Y90" s="1"/>
      <c r="Z90" s="1"/>
      <c r="AA90" s="1"/>
      <c r="AB90" s="1"/>
      <c r="AD90" s="1"/>
      <c r="AE90" s="1"/>
      <c r="AF90" s="1"/>
      <c r="AG90" s="1"/>
      <c r="AH90" s="1"/>
      <c r="AP90" s="1"/>
      <c r="AQ90" s="1"/>
      <c r="AR90" s="1"/>
      <c r="AS90" s="1"/>
      <c r="AT90" s="1"/>
    </row>
    <row r="91" spans="1:46" x14ac:dyDescent="0.25">
      <c r="A91" s="9">
        <f t="shared" si="1"/>
        <v>88</v>
      </c>
      <c r="B91" s="51" t="s">
        <v>83</v>
      </c>
      <c r="C91" s="50" t="s">
        <v>87</v>
      </c>
      <c r="D91" s="50"/>
      <c r="E91" s="50"/>
      <c r="F91" s="58">
        <v>0</v>
      </c>
      <c r="G91" s="58">
        <v>0</v>
      </c>
      <c r="H91" s="58">
        <v>1005000</v>
      </c>
      <c r="I91" s="58">
        <v>996000</v>
      </c>
      <c r="J91" s="58">
        <v>0</v>
      </c>
      <c r="K91" s="58">
        <v>0</v>
      </c>
      <c r="L91" s="1"/>
      <c r="M91" s="1"/>
      <c r="N91" s="1"/>
      <c r="O91" s="1"/>
      <c r="P91" s="1"/>
      <c r="R91" s="1"/>
      <c r="S91" s="1"/>
      <c r="T91" s="1"/>
      <c r="U91" s="1"/>
      <c r="V91" s="1"/>
      <c r="X91" s="1"/>
      <c r="Y91" s="1"/>
      <c r="Z91" s="1"/>
      <c r="AA91" s="1"/>
      <c r="AB91" s="1"/>
      <c r="AD91" s="1"/>
      <c r="AE91" s="1"/>
      <c r="AF91" s="1"/>
      <c r="AG91" s="1"/>
      <c r="AH91" s="1"/>
      <c r="AP91" s="1"/>
      <c r="AQ91" s="1"/>
      <c r="AR91" s="1"/>
      <c r="AS91" s="1"/>
      <c r="AT91" s="1"/>
    </row>
    <row r="92" spans="1:46" x14ac:dyDescent="0.25">
      <c r="A92" s="9">
        <f t="shared" si="1"/>
        <v>89</v>
      </c>
      <c r="B92" s="51" t="s">
        <v>83</v>
      </c>
      <c r="C92" s="50" t="s">
        <v>88</v>
      </c>
      <c r="D92" s="50"/>
      <c r="E92" s="50"/>
      <c r="F92" s="58">
        <v>0</v>
      </c>
      <c r="G92" s="58">
        <v>0</v>
      </c>
      <c r="H92" s="58">
        <v>955000</v>
      </c>
      <c r="I92" s="58">
        <v>945000</v>
      </c>
      <c r="J92" s="58">
        <v>935000</v>
      </c>
      <c r="K92" s="58">
        <v>0</v>
      </c>
      <c r="L92" s="1"/>
      <c r="M92" s="1"/>
      <c r="N92" s="1"/>
      <c r="O92" s="1"/>
      <c r="P92" s="1"/>
      <c r="R92" s="1"/>
      <c r="S92" s="1"/>
      <c r="T92" s="1"/>
      <c r="U92" s="1"/>
      <c r="V92" s="1"/>
      <c r="X92" s="1"/>
      <c r="Y92" s="1"/>
      <c r="Z92" s="1"/>
      <c r="AA92" s="1"/>
      <c r="AB92" s="1"/>
      <c r="AD92" s="1"/>
      <c r="AE92" s="1"/>
      <c r="AF92" s="1"/>
      <c r="AG92" s="1"/>
      <c r="AH92" s="1"/>
      <c r="AP92" s="1"/>
      <c r="AQ92" s="1"/>
      <c r="AR92" s="1"/>
      <c r="AS92" s="1"/>
      <c r="AT92" s="1"/>
    </row>
    <row r="93" spans="1:46" x14ac:dyDescent="0.25">
      <c r="A93" s="9">
        <f t="shared" si="1"/>
        <v>90</v>
      </c>
      <c r="B93" s="51" t="s">
        <v>83</v>
      </c>
      <c r="C93" s="50" t="s">
        <v>48</v>
      </c>
      <c r="D93" s="50"/>
      <c r="E93" s="50"/>
      <c r="F93" s="58">
        <v>0</v>
      </c>
      <c r="G93" s="58">
        <v>0</v>
      </c>
      <c r="H93" s="58">
        <v>1055000</v>
      </c>
      <c r="I93" s="58">
        <v>1005000</v>
      </c>
      <c r="J93" s="58">
        <v>0</v>
      </c>
      <c r="K93" s="58">
        <v>0</v>
      </c>
      <c r="L93" s="1"/>
      <c r="M93" s="1"/>
      <c r="N93" s="1"/>
      <c r="O93" s="1"/>
      <c r="P93" s="1"/>
      <c r="R93" s="1"/>
      <c r="S93" s="1"/>
      <c r="T93" s="1"/>
      <c r="U93" s="1"/>
      <c r="V93" s="1"/>
      <c r="X93" s="1"/>
      <c r="Y93" s="1"/>
      <c r="Z93" s="1"/>
      <c r="AA93" s="1"/>
      <c r="AB93" s="1"/>
      <c r="AD93" s="1"/>
      <c r="AE93" s="1"/>
      <c r="AF93" s="1"/>
      <c r="AG93" s="1"/>
      <c r="AH93" s="1"/>
      <c r="AP93" s="1"/>
      <c r="AQ93" s="1"/>
      <c r="AR93" s="1"/>
      <c r="AS93" s="1"/>
      <c r="AT93" s="1"/>
    </row>
    <row r="94" spans="1:46" x14ac:dyDescent="0.25">
      <c r="A94" s="9">
        <f t="shared" si="1"/>
        <v>91</v>
      </c>
      <c r="B94" s="51" t="s">
        <v>83</v>
      </c>
      <c r="C94" s="50" t="s">
        <v>300</v>
      </c>
      <c r="D94" s="50"/>
      <c r="E94" s="50"/>
      <c r="F94" s="58">
        <v>0</v>
      </c>
      <c r="G94" s="58">
        <v>0</v>
      </c>
      <c r="H94" s="58">
        <v>1055000</v>
      </c>
      <c r="I94" s="58">
        <v>1005000</v>
      </c>
      <c r="J94" s="58">
        <v>0</v>
      </c>
      <c r="K94" s="58">
        <v>0</v>
      </c>
      <c r="L94" s="1"/>
      <c r="M94" s="1"/>
      <c r="N94" s="1"/>
      <c r="O94" s="1"/>
      <c r="P94" s="1"/>
      <c r="R94" s="1"/>
      <c r="S94" s="1"/>
      <c r="T94" s="1"/>
      <c r="U94" s="1"/>
      <c r="V94" s="1"/>
      <c r="X94" s="1"/>
      <c r="Y94" s="1"/>
      <c r="Z94" s="1"/>
      <c r="AA94" s="1"/>
      <c r="AB94" s="1"/>
      <c r="AD94" s="1"/>
      <c r="AE94" s="1"/>
      <c r="AF94" s="1"/>
      <c r="AG94" s="1"/>
      <c r="AH94" s="1"/>
      <c r="AP94" s="1"/>
      <c r="AQ94" s="1"/>
      <c r="AR94" s="1"/>
      <c r="AS94" s="1"/>
      <c r="AT94" s="1"/>
    </row>
    <row r="95" spans="1:46" x14ac:dyDescent="0.25">
      <c r="A95" s="9">
        <f t="shared" si="1"/>
        <v>92</v>
      </c>
      <c r="B95" s="51" t="s">
        <v>83</v>
      </c>
      <c r="C95" s="50" t="s">
        <v>301</v>
      </c>
      <c r="D95" s="50"/>
      <c r="E95" s="50"/>
      <c r="F95" s="58">
        <v>0</v>
      </c>
      <c r="G95" s="58">
        <v>0</v>
      </c>
      <c r="H95" s="58">
        <v>1055000</v>
      </c>
      <c r="I95" s="58">
        <v>1005000</v>
      </c>
      <c r="J95" s="58">
        <v>0</v>
      </c>
      <c r="K95" s="58">
        <v>0</v>
      </c>
      <c r="L95" s="1"/>
      <c r="M95" s="1"/>
      <c r="N95" s="1"/>
      <c r="O95" s="1"/>
      <c r="P95" s="1"/>
      <c r="R95" s="1"/>
      <c r="S95" s="1"/>
      <c r="T95" s="1"/>
      <c r="U95" s="1"/>
      <c r="V95" s="1"/>
      <c r="X95" s="1"/>
      <c r="Y95" s="1"/>
      <c r="Z95" s="1"/>
      <c r="AA95" s="1"/>
      <c r="AB95" s="1"/>
      <c r="AD95" s="1"/>
      <c r="AE95" s="1"/>
      <c r="AF95" s="1"/>
      <c r="AG95" s="1"/>
      <c r="AH95" s="1"/>
      <c r="AP95" s="1"/>
      <c r="AQ95" s="1"/>
      <c r="AR95" s="1"/>
      <c r="AS95" s="1"/>
      <c r="AT95" s="1"/>
    </row>
    <row r="96" spans="1:46" x14ac:dyDescent="0.25">
      <c r="A96" s="9">
        <f t="shared" si="1"/>
        <v>93</v>
      </c>
      <c r="B96" s="51" t="s">
        <v>83</v>
      </c>
      <c r="C96" s="50" t="s">
        <v>302</v>
      </c>
      <c r="D96" s="50"/>
      <c r="E96" s="50"/>
      <c r="F96" s="58">
        <v>0</v>
      </c>
      <c r="G96" s="58">
        <v>0</v>
      </c>
      <c r="H96" s="58">
        <v>1055000</v>
      </c>
      <c r="I96" s="58">
        <v>1005000</v>
      </c>
      <c r="J96" s="58">
        <v>0</v>
      </c>
      <c r="K96" s="58">
        <v>0</v>
      </c>
      <c r="L96" s="1"/>
      <c r="M96" s="1"/>
      <c r="N96" s="1"/>
      <c r="O96" s="1"/>
      <c r="P96" s="1"/>
      <c r="R96" s="1"/>
      <c r="S96" s="1"/>
      <c r="T96" s="1"/>
      <c r="U96" s="1"/>
      <c r="V96" s="1"/>
      <c r="X96" s="1"/>
      <c r="Y96" s="1"/>
      <c r="Z96" s="1"/>
      <c r="AA96" s="1"/>
      <c r="AB96" s="1"/>
      <c r="AD96" s="1"/>
      <c r="AE96" s="1"/>
      <c r="AF96" s="1"/>
      <c r="AG96" s="1"/>
      <c r="AH96" s="1"/>
      <c r="AP96" s="1"/>
      <c r="AQ96" s="1"/>
      <c r="AR96" s="1"/>
      <c r="AS96" s="1"/>
      <c r="AT96" s="1"/>
    </row>
    <row r="97" spans="1:46" x14ac:dyDescent="0.25">
      <c r="A97" s="9">
        <f t="shared" si="1"/>
        <v>94</v>
      </c>
      <c r="B97" s="51" t="s">
        <v>638</v>
      </c>
      <c r="C97" s="50" t="s">
        <v>284</v>
      </c>
      <c r="D97" s="50"/>
      <c r="E97" s="50"/>
      <c r="F97" s="58">
        <v>895000</v>
      </c>
      <c r="G97" s="58">
        <v>0</v>
      </c>
      <c r="H97" s="58">
        <v>262000</v>
      </c>
      <c r="I97" s="58">
        <v>241000</v>
      </c>
      <c r="J97" s="58">
        <v>221000</v>
      </c>
      <c r="K97" s="58">
        <v>262000</v>
      </c>
      <c r="L97" s="1"/>
      <c r="M97" s="1"/>
      <c r="N97" s="1"/>
      <c r="O97" s="1"/>
      <c r="P97" s="1"/>
      <c r="R97" s="1"/>
      <c r="S97" s="1"/>
      <c r="T97" s="1"/>
      <c r="U97" s="1"/>
      <c r="V97" s="1"/>
      <c r="X97" s="1"/>
      <c r="Y97" s="1"/>
      <c r="Z97" s="1"/>
      <c r="AA97" s="1"/>
      <c r="AB97" s="1"/>
      <c r="AD97" s="1"/>
      <c r="AE97" s="1"/>
      <c r="AF97" s="1"/>
      <c r="AG97" s="1"/>
      <c r="AH97" s="1"/>
      <c r="AP97" s="1"/>
      <c r="AQ97" s="1"/>
      <c r="AR97" s="1"/>
      <c r="AS97" s="1"/>
      <c r="AT97" s="1"/>
    </row>
    <row r="98" spans="1:46" x14ac:dyDescent="0.25">
      <c r="A98" s="9">
        <f t="shared" si="1"/>
        <v>95</v>
      </c>
      <c r="B98" s="51" t="s">
        <v>638</v>
      </c>
      <c r="C98" s="50" t="s">
        <v>284</v>
      </c>
      <c r="D98" s="50"/>
      <c r="E98" s="50"/>
      <c r="F98" s="58">
        <v>0</v>
      </c>
      <c r="G98" s="58">
        <v>0</v>
      </c>
      <c r="H98" s="58">
        <v>0</v>
      </c>
      <c r="I98" s="58">
        <v>0</v>
      </c>
      <c r="J98" s="58">
        <v>0</v>
      </c>
      <c r="K98" s="58">
        <v>342000</v>
      </c>
      <c r="L98" s="1"/>
      <c r="M98" s="1"/>
      <c r="N98" s="1"/>
      <c r="O98" s="1"/>
      <c r="P98" s="1"/>
      <c r="R98" s="1"/>
      <c r="S98" s="1"/>
      <c r="T98" s="1"/>
      <c r="U98" s="1"/>
      <c r="V98" s="1"/>
      <c r="X98" s="1"/>
      <c r="Y98" s="1"/>
      <c r="Z98" s="1"/>
      <c r="AA98" s="1"/>
      <c r="AB98" s="1"/>
      <c r="AD98" s="1"/>
      <c r="AE98" s="1"/>
      <c r="AF98" s="1"/>
      <c r="AG98" s="1"/>
      <c r="AH98" s="1"/>
      <c r="AP98" s="1"/>
      <c r="AQ98" s="1"/>
      <c r="AR98" s="1"/>
      <c r="AS98" s="1"/>
      <c r="AT98" s="1"/>
    </row>
    <row r="99" spans="1:46" x14ac:dyDescent="0.25">
      <c r="A99" s="9">
        <f t="shared" si="1"/>
        <v>96</v>
      </c>
      <c r="B99" s="51" t="s">
        <v>638</v>
      </c>
      <c r="C99" s="50" t="s">
        <v>322</v>
      </c>
      <c r="D99" s="50"/>
      <c r="E99" s="50"/>
      <c r="F99" s="58">
        <v>1106000</v>
      </c>
      <c r="G99" s="58">
        <v>0</v>
      </c>
      <c r="H99" s="58">
        <v>282000</v>
      </c>
      <c r="I99" s="58">
        <v>262000</v>
      </c>
      <c r="J99" s="58">
        <v>0</v>
      </c>
      <c r="K99" s="58">
        <v>352000</v>
      </c>
      <c r="L99" s="1"/>
      <c r="M99" s="1"/>
      <c r="N99" s="1"/>
      <c r="O99" s="1"/>
      <c r="P99" s="1"/>
      <c r="R99" s="1"/>
      <c r="S99" s="1"/>
      <c r="T99" s="1"/>
      <c r="U99" s="1"/>
      <c r="V99" s="1"/>
      <c r="X99" s="1"/>
      <c r="Y99" s="1"/>
      <c r="Z99" s="1"/>
      <c r="AA99" s="1"/>
      <c r="AB99" s="1"/>
      <c r="AD99" s="1"/>
      <c r="AE99" s="1"/>
      <c r="AF99" s="1"/>
      <c r="AG99" s="1"/>
      <c r="AH99" s="1"/>
      <c r="AP99" s="1"/>
      <c r="AQ99" s="1"/>
      <c r="AR99" s="1"/>
      <c r="AS99" s="1"/>
      <c r="AT99" s="1"/>
    </row>
    <row r="100" spans="1:46" x14ac:dyDescent="0.25">
      <c r="A100" s="9">
        <f t="shared" si="1"/>
        <v>97</v>
      </c>
      <c r="B100" s="51" t="s">
        <v>638</v>
      </c>
      <c r="C100" s="50" t="s">
        <v>46</v>
      </c>
      <c r="D100" s="50"/>
      <c r="E100" s="50"/>
      <c r="F100" s="58">
        <v>0</v>
      </c>
      <c r="G100" s="58">
        <v>0</v>
      </c>
      <c r="H100" s="58">
        <v>342000</v>
      </c>
      <c r="I100" s="58">
        <v>332000</v>
      </c>
      <c r="J100" s="58">
        <v>0</v>
      </c>
      <c r="K100" s="58">
        <v>392000</v>
      </c>
      <c r="L100" s="1"/>
      <c r="M100" s="1"/>
      <c r="N100" s="1"/>
      <c r="O100" s="1"/>
      <c r="P100" s="1"/>
      <c r="R100" s="1"/>
      <c r="S100" s="1"/>
      <c r="T100" s="1"/>
      <c r="U100" s="1"/>
      <c r="V100" s="1"/>
      <c r="X100" s="1"/>
      <c r="Y100" s="1"/>
      <c r="Z100" s="1"/>
      <c r="AA100" s="1"/>
      <c r="AB100" s="1"/>
      <c r="AD100" s="1"/>
      <c r="AE100" s="1"/>
      <c r="AF100" s="1"/>
      <c r="AG100" s="1"/>
      <c r="AH100" s="1"/>
      <c r="AP100" s="1"/>
      <c r="AQ100" s="1"/>
      <c r="AR100" s="1"/>
      <c r="AS100" s="1"/>
      <c r="AT100" s="1"/>
    </row>
    <row r="101" spans="1:46" x14ac:dyDescent="0.25">
      <c r="A101" s="9">
        <f t="shared" si="1"/>
        <v>98</v>
      </c>
      <c r="B101" s="51" t="s">
        <v>638</v>
      </c>
      <c r="C101" s="50" t="s">
        <v>303</v>
      </c>
      <c r="D101" s="50"/>
      <c r="E101" s="50"/>
      <c r="F101" s="58">
        <v>1328000</v>
      </c>
      <c r="G101" s="58">
        <v>0</v>
      </c>
      <c r="H101" s="58">
        <v>321000</v>
      </c>
      <c r="I101" s="58">
        <v>302000</v>
      </c>
      <c r="J101" s="58">
        <v>0</v>
      </c>
      <c r="K101" s="58">
        <v>392000</v>
      </c>
      <c r="L101" s="1"/>
      <c r="M101" s="1"/>
      <c r="N101" s="1"/>
      <c r="O101" s="1"/>
      <c r="P101" s="1"/>
      <c r="R101" s="1"/>
      <c r="S101" s="1"/>
      <c r="T101" s="1"/>
      <c r="U101" s="1"/>
      <c r="V101" s="1"/>
      <c r="X101" s="1"/>
      <c r="Y101" s="1"/>
      <c r="Z101" s="1"/>
      <c r="AA101" s="1"/>
      <c r="AB101" s="1"/>
      <c r="AD101" s="1"/>
      <c r="AE101" s="1"/>
      <c r="AF101" s="1"/>
      <c r="AG101" s="1"/>
      <c r="AH101" s="1"/>
      <c r="AP101" s="1"/>
      <c r="AQ101" s="1"/>
      <c r="AR101" s="1"/>
      <c r="AS101" s="1"/>
      <c r="AT101" s="1"/>
    </row>
    <row r="102" spans="1:46" x14ac:dyDescent="0.25">
      <c r="A102" s="9">
        <f t="shared" si="1"/>
        <v>99</v>
      </c>
      <c r="B102" s="51" t="s">
        <v>638</v>
      </c>
      <c r="C102" s="50" t="s">
        <v>50</v>
      </c>
      <c r="D102" s="50"/>
      <c r="E102" s="50"/>
      <c r="F102" s="58">
        <v>1608000</v>
      </c>
      <c r="G102" s="58">
        <v>0</v>
      </c>
      <c r="H102" s="58">
        <v>342000</v>
      </c>
      <c r="I102" s="58">
        <v>312000</v>
      </c>
      <c r="J102" s="58">
        <v>0</v>
      </c>
      <c r="K102" s="58">
        <v>412000</v>
      </c>
      <c r="L102" s="1"/>
      <c r="M102" s="1"/>
      <c r="N102" s="1"/>
      <c r="O102" s="1"/>
      <c r="P102" s="1"/>
      <c r="R102" s="1"/>
      <c r="S102" s="1"/>
      <c r="T102" s="1"/>
      <c r="U102" s="1"/>
      <c r="V102" s="1"/>
      <c r="X102" s="1"/>
      <c r="Y102" s="1"/>
      <c r="Z102" s="1"/>
      <c r="AA102" s="1"/>
      <c r="AB102" s="1"/>
      <c r="AD102" s="1"/>
      <c r="AE102" s="1"/>
      <c r="AF102" s="1"/>
      <c r="AG102" s="1"/>
      <c r="AH102" s="1"/>
      <c r="AP102" s="1"/>
      <c r="AQ102" s="1"/>
      <c r="AR102" s="1"/>
      <c r="AS102" s="1"/>
      <c r="AT102" s="1"/>
    </row>
    <row r="103" spans="1:46" x14ac:dyDescent="0.25">
      <c r="A103" s="9">
        <f t="shared" si="1"/>
        <v>100</v>
      </c>
      <c r="B103" s="51" t="s">
        <v>638</v>
      </c>
      <c r="C103" s="50" t="s">
        <v>51</v>
      </c>
      <c r="D103" s="50"/>
      <c r="E103" s="50"/>
      <c r="F103" s="58">
        <v>1328000</v>
      </c>
      <c r="G103" s="58">
        <v>0</v>
      </c>
      <c r="H103" s="58">
        <v>321000</v>
      </c>
      <c r="I103" s="58">
        <v>302000</v>
      </c>
      <c r="J103" s="58">
        <v>0</v>
      </c>
      <c r="K103" s="58">
        <v>392000</v>
      </c>
      <c r="L103" s="1"/>
      <c r="M103" s="1"/>
      <c r="N103" s="1"/>
      <c r="O103" s="1"/>
      <c r="P103" s="1"/>
      <c r="R103" s="1"/>
      <c r="S103" s="1"/>
      <c r="T103" s="1"/>
      <c r="U103" s="1"/>
      <c r="V103" s="1"/>
      <c r="X103" s="1"/>
      <c r="Y103" s="1"/>
      <c r="Z103" s="1"/>
      <c r="AA103" s="1"/>
      <c r="AB103" s="1"/>
      <c r="AD103" s="1"/>
      <c r="AE103" s="1"/>
      <c r="AF103" s="1"/>
      <c r="AG103" s="1"/>
      <c r="AH103" s="1"/>
      <c r="AP103" s="1"/>
      <c r="AQ103" s="1"/>
      <c r="AR103" s="1"/>
      <c r="AS103" s="1"/>
      <c r="AT103" s="1"/>
    </row>
    <row r="104" spans="1:46" x14ac:dyDescent="0.25">
      <c r="A104" s="9">
        <f t="shared" si="1"/>
        <v>101</v>
      </c>
      <c r="B104" s="51" t="s">
        <v>638</v>
      </c>
      <c r="C104" s="50" t="s">
        <v>49</v>
      </c>
      <c r="D104" s="50"/>
      <c r="E104" s="50"/>
      <c r="F104" s="58">
        <v>1106000</v>
      </c>
      <c r="G104" s="58">
        <v>0</v>
      </c>
      <c r="H104" s="58">
        <v>282000</v>
      </c>
      <c r="I104" s="58">
        <v>262000</v>
      </c>
      <c r="J104" s="58">
        <v>0</v>
      </c>
      <c r="K104" s="58">
        <v>352000</v>
      </c>
      <c r="L104" s="1"/>
      <c r="M104" s="1"/>
      <c r="N104" s="1"/>
      <c r="O104" s="1"/>
      <c r="P104" s="1"/>
      <c r="R104" s="1"/>
      <c r="S104" s="1"/>
      <c r="T104" s="1"/>
      <c r="U104" s="1"/>
      <c r="V104" s="1"/>
      <c r="X104" s="1"/>
      <c r="Y104" s="1"/>
      <c r="Z104" s="1"/>
      <c r="AA104" s="1"/>
      <c r="AB104" s="1"/>
      <c r="AD104" s="1"/>
      <c r="AE104" s="1"/>
      <c r="AF104" s="1"/>
      <c r="AG104" s="1"/>
      <c r="AH104" s="1"/>
      <c r="AP104" s="1"/>
      <c r="AQ104" s="1"/>
      <c r="AR104" s="1"/>
      <c r="AS104" s="1"/>
      <c r="AT104" s="1"/>
    </row>
    <row r="105" spans="1:46" x14ac:dyDescent="0.25">
      <c r="A105" s="9">
        <f t="shared" si="1"/>
        <v>102</v>
      </c>
      <c r="B105" s="51" t="s">
        <v>638</v>
      </c>
      <c r="C105" s="50" t="s">
        <v>321</v>
      </c>
      <c r="D105" s="50"/>
      <c r="E105" s="50"/>
      <c r="F105" s="58">
        <v>1106000</v>
      </c>
      <c r="G105" s="58">
        <v>0</v>
      </c>
      <c r="H105" s="58">
        <v>282000</v>
      </c>
      <c r="I105" s="58">
        <v>262000</v>
      </c>
      <c r="J105" s="58">
        <v>0</v>
      </c>
      <c r="K105" s="58">
        <v>352000</v>
      </c>
      <c r="L105" s="1"/>
      <c r="M105" s="1"/>
      <c r="N105" s="1"/>
      <c r="O105" s="1"/>
      <c r="P105" s="1"/>
      <c r="R105" s="1"/>
      <c r="S105" s="1"/>
      <c r="T105" s="1"/>
      <c r="U105" s="1"/>
      <c r="V105" s="1"/>
      <c r="X105" s="1"/>
      <c r="Y105" s="1"/>
      <c r="Z105" s="1"/>
      <c r="AA105" s="1"/>
      <c r="AB105" s="1"/>
      <c r="AD105" s="1"/>
      <c r="AE105" s="1"/>
      <c r="AF105" s="1"/>
      <c r="AG105" s="1"/>
      <c r="AH105" s="1"/>
      <c r="AP105" s="1"/>
      <c r="AQ105" s="1"/>
      <c r="AR105" s="1"/>
      <c r="AS105" s="1"/>
      <c r="AT105" s="1"/>
    </row>
    <row r="106" spans="1:46" x14ac:dyDescent="0.25">
      <c r="A106" s="9">
        <f t="shared" si="1"/>
        <v>103</v>
      </c>
      <c r="B106" s="51" t="s">
        <v>638</v>
      </c>
      <c r="C106" s="50" t="s">
        <v>364</v>
      </c>
      <c r="D106" s="50"/>
      <c r="E106" s="50"/>
      <c r="F106" s="58">
        <v>1106000</v>
      </c>
      <c r="G106" s="58">
        <v>0</v>
      </c>
      <c r="H106" s="58">
        <v>0</v>
      </c>
      <c r="I106" s="58">
        <v>282000</v>
      </c>
      <c r="J106" s="58">
        <v>266000</v>
      </c>
      <c r="K106" s="58">
        <v>302000</v>
      </c>
      <c r="L106" s="1"/>
      <c r="M106" s="1"/>
      <c r="N106" s="1"/>
      <c r="O106" s="1"/>
      <c r="P106" s="1"/>
      <c r="R106" s="1"/>
      <c r="S106" s="1"/>
      <c r="T106" s="1"/>
      <c r="U106" s="1"/>
      <c r="V106" s="1"/>
      <c r="X106" s="1"/>
      <c r="Y106" s="1"/>
      <c r="Z106" s="1"/>
      <c r="AA106" s="1"/>
      <c r="AB106" s="1"/>
      <c r="AD106" s="1"/>
      <c r="AE106" s="1"/>
      <c r="AF106" s="1"/>
      <c r="AG106" s="1"/>
      <c r="AH106" s="1"/>
      <c r="AP106" s="1"/>
      <c r="AQ106" s="1"/>
      <c r="AR106" s="1"/>
      <c r="AS106" s="1"/>
      <c r="AT106" s="1"/>
    </row>
    <row r="107" spans="1:46" x14ac:dyDescent="0.25">
      <c r="A107" s="9">
        <f t="shared" si="1"/>
        <v>104</v>
      </c>
      <c r="B107" s="51" t="s">
        <v>638</v>
      </c>
      <c r="C107" s="50" t="s">
        <v>314</v>
      </c>
      <c r="D107" s="50"/>
      <c r="E107" s="50"/>
      <c r="F107" s="58">
        <v>1106000</v>
      </c>
      <c r="G107" s="58">
        <v>0</v>
      </c>
      <c r="H107" s="58">
        <v>282000</v>
      </c>
      <c r="I107" s="58">
        <v>262000</v>
      </c>
      <c r="J107" s="58">
        <v>0</v>
      </c>
      <c r="K107" s="58">
        <v>352000</v>
      </c>
      <c r="L107" s="1"/>
      <c r="M107" s="1"/>
      <c r="N107" s="1"/>
      <c r="O107" s="1"/>
      <c r="P107" s="1"/>
      <c r="R107" s="1"/>
      <c r="S107" s="1"/>
      <c r="T107" s="1"/>
      <c r="U107" s="1"/>
      <c r="V107" s="1"/>
      <c r="X107" s="1"/>
      <c r="Y107" s="1"/>
      <c r="Z107" s="1"/>
      <c r="AA107" s="1"/>
      <c r="AB107" s="1"/>
      <c r="AD107" s="1"/>
      <c r="AE107" s="1"/>
      <c r="AF107" s="1"/>
      <c r="AG107" s="1"/>
      <c r="AH107" s="1"/>
      <c r="AP107" s="1"/>
      <c r="AQ107" s="1"/>
      <c r="AR107" s="1"/>
      <c r="AS107" s="1"/>
      <c r="AT107" s="1"/>
    </row>
    <row r="108" spans="1:46" x14ac:dyDescent="0.25">
      <c r="A108" s="9">
        <f t="shared" si="1"/>
        <v>105</v>
      </c>
      <c r="B108" s="51" t="s">
        <v>638</v>
      </c>
      <c r="C108" s="50" t="s">
        <v>285</v>
      </c>
      <c r="D108" s="50"/>
      <c r="E108" s="50"/>
      <c r="F108" s="58">
        <v>0</v>
      </c>
      <c r="G108" s="58">
        <v>0</v>
      </c>
      <c r="H108" s="58">
        <v>342000</v>
      </c>
      <c r="I108" s="58">
        <v>332000</v>
      </c>
      <c r="J108" s="58">
        <v>0</v>
      </c>
      <c r="K108" s="58">
        <v>392000</v>
      </c>
      <c r="L108" s="1"/>
      <c r="M108" s="1"/>
      <c r="N108" s="1"/>
      <c r="O108" s="1"/>
      <c r="P108" s="1"/>
      <c r="R108" s="1"/>
      <c r="S108" s="1"/>
      <c r="T108" s="1"/>
      <c r="U108" s="1"/>
      <c r="V108" s="1"/>
      <c r="X108" s="1"/>
      <c r="Y108" s="1"/>
      <c r="Z108" s="1"/>
      <c r="AA108" s="1"/>
      <c r="AB108" s="1"/>
      <c r="AD108" s="1"/>
      <c r="AE108" s="1"/>
      <c r="AF108" s="1"/>
      <c r="AG108" s="1"/>
      <c r="AH108" s="1"/>
      <c r="AP108" s="1"/>
      <c r="AQ108" s="1"/>
      <c r="AR108" s="1"/>
      <c r="AS108" s="1"/>
      <c r="AT108" s="1"/>
    </row>
    <row r="109" spans="1:46" x14ac:dyDescent="0.25">
      <c r="A109" s="9">
        <f t="shared" si="1"/>
        <v>106</v>
      </c>
      <c r="B109" s="51" t="s">
        <v>638</v>
      </c>
      <c r="C109" s="50" t="s">
        <v>89</v>
      </c>
      <c r="D109" s="50"/>
      <c r="E109" s="50"/>
      <c r="F109" s="58">
        <v>1106000</v>
      </c>
      <c r="G109" s="58">
        <v>0</v>
      </c>
      <c r="H109" s="58">
        <v>0</v>
      </c>
      <c r="I109" s="58">
        <v>282000</v>
      </c>
      <c r="J109" s="58">
        <v>266000</v>
      </c>
      <c r="K109" s="58">
        <v>302000</v>
      </c>
      <c r="L109" s="1"/>
      <c r="M109" s="1"/>
      <c r="N109" s="1"/>
      <c r="O109" s="1"/>
      <c r="P109" s="1"/>
      <c r="R109" s="1"/>
      <c r="S109" s="1"/>
      <c r="T109" s="1"/>
      <c r="U109" s="1"/>
      <c r="V109" s="1"/>
      <c r="X109" s="1"/>
      <c r="Y109" s="1"/>
      <c r="Z109" s="1"/>
      <c r="AA109" s="1"/>
      <c r="AB109" s="1"/>
      <c r="AD109" s="1"/>
      <c r="AE109" s="1"/>
      <c r="AF109" s="1"/>
      <c r="AG109" s="1"/>
      <c r="AH109" s="1"/>
      <c r="AP109" s="1"/>
      <c r="AQ109" s="1"/>
      <c r="AR109" s="1"/>
      <c r="AS109" s="1"/>
      <c r="AT109" s="1"/>
    </row>
    <row r="110" spans="1:46" x14ac:dyDescent="0.25">
      <c r="A110" s="9">
        <f t="shared" si="1"/>
        <v>107</v>
      </c>
      <c r="B110" s="51" t="s">
        <v>638</v>
      </c>
      <c r="C110" s="50" t="s">
        <v>89</v>
      </c>
      <c r="D110" s="50"/>
      <c r="E110" s="50"/>
      <c r="F110" s="58">
        <v>0</v>
      </c>
      <c r="G110" s="58">
        <v>0</v>
      </c>
      <c r="H110" s="58">
        <v>0</v>
      </c>
      <c r="I110" s="58">
        <v>0</v>
      </c>
      <c r="J110" s="58">
        <v>0</v>
      </c>
      <c r="K110" s="58">
        <v>352000</v>
      </c>
      <c r="L110" s="1"/>
      <c r="M110" s="1"/>
      <c r="N110" s="1"/>
      <c r="O110" s="1"/>
      <c r="P110" s="1"/>
      <c r="R110" s="1"/>
      <c r="S110" s="1"/>
      <c r="T110" s="1"/>
      <c r="U110" s="1"/>
      <c r="V110" s="1"/>
      <c r="X110" s="1"/>
      <c r="Y110" s="1"/>
      <c r="Z110" s="1"/>
      <c r="AA110" s="1"/>
      <c r="AB110" s="1"/>
      <c r="AD110" s="1"/>
      <c r="AE110" s="1"/>
      <c r="AF110" s="1"/>
      <c r="AG110" s="1"/>
      <c r="AH110" s="1"/>
      <c r="AP110" s="1"/>
      <c r="AQ110" s="1"/>
      <c r="AR110" s="1"/>
      <c r="AS110" s="1"/>
      <c r="AT110" s="1"/>
    </row>
    <row r="111" spans="1:46" x14ac:dyDescent="0.25">
      <c r="A111" s="9">
        <f t="shared" si="1"/>
        <v>108</v>
      </c>
      <c r="B111" s="51" t="s">
        <v>638</v>
      </c>
      <c r="C111" s="50" t="s">
        <v>89</v>
      </c>
      <c r="D111" s="50"/>
      <c r="E111" s="50" t="s">
        <v>366</v>
      </c>
      <c r="F111" s="58">
        <v>0</v>
      </c>
      <c r="G111" s="58">
        <v>0</v>
      </c>
      <c r="H111" s="58">
        <v>332000</v>
      </c>
      <c r="I111" s="58">
        <v>302000</v>
      </c>
      <c r="J111" s="58">
        <v>291000</v>
      </c>
      <c r="K111" s="58">
        <v>0</v>
      </c>
      <c r="L111" s="1"/>
      <c r="M111" s="1"/>
      <c r="N111" s="1"/>
      <c r="O111" s="1"/>
      <c r="P111" s="1"/>
      <c r="R111" s="1"/>
      <c r="S111" s="1"/>
      <c r="T111" s="1"/>
      <c r="U111" s="1"/>
      <c r="V111" s="1"/>
      <c r="X111" s="1"/>
      <c r="Y111" s="1"/>
      <c r="Z111" s="1"/>
      <c r="AA111" s="1"/>
      <c r="AB111" s="1"/>
      <c r="AD111" s="1"/>
      <c r="AE111" s="1"/>
      <c r="AF111" s="1"/>
      <c r="AG111" s="1"/>
      <c r="AH111" s="1"/>
      <c r="AP111" s="1"/>
      <c r="AQ111" s="1"/>
      <c r="AR111" s="1"/>
      <c r="AS111" s="1"/>
      <c r="AT111" s="1"/>
    </row>
    <row r="112" spans="1:46" x14ac:dyDescent="0.25">
      <c r="A112" s="9">
        <f t="shared" si="1"/>
        <v>109</v>
      </c>
      <c r="B112" s="51" t="s">
        <v>638</v>
      </c>
      <c r="C112" s="50" t="s">
        <v>53</v>
      </c>
      <c r="D112" s="50"/>
      <c r="E112" s="50"/>
      <c r="F112" s="58">
        <v>1106000</v>
      </c>
      <c r="G112" s="58">
        <v>0</v>
      </c>
      <c r="H112" s="58">
        <v>282000</v>
      </c>
      <c r="I112" s="58">
        <v>262000</v>
      </c>
      <c r="J112" s="58">
        <v>0</v>
      </c>
      <c r="K112" s="58">
        <v>352000</v>
      </c>
      <c r="L112" s="1"/>
      <c r="M112" s="1"/>
      <c r="N112" s="1"/>
      <c r="O112" s="1"/>
      <c r="P112" s="1"/>
      <c r="R112" s="1"/>
      <c r="S112" s="1"/>
      <c r="T112" s="1"/>
      <c r="U112" s="1"/>
      <c r="V112" s="1"/>
      <c r="X112" s="1"/>
      <c r="Y112" s="1"/>
      <c r="Z112" s="1"/>
      <c r="AA112" s="1"/>
      <c r="AB112" s="1"/>
      <c r="AD112" s="1"/>
      <c r="AE112" s="1"/>
      <c r="AF112" s="1"/>
      <c r="AG112" s="1"/>
      <c r="AH112" s="1"/>
      <c r="AP112" s="1"/>
      <c r="AQ112" s="1"/>
      <c r="AR112" s="1"/>
      <c r="AS112" s="1"/>
      <c r="AT112" s="1"/>
    </row>
    <row r="113" spans="1:46" x14ac:dyDescent="0.25">
      <c r="A113" s="9">
        <f t="shared" si="1"/>
        <v>110</v>
      </c>
      <c r="B113" s="51" t="s">
        <v>638</v>
      </c>
      <c r="C113" s="50" t="s">
        <v>315</v>
      </c>
      <c r="D113" s="50"/>
      <c r="E113" s="50"/>
      <c r="F113" s="58">
        <v>1106000</v>
      </c>
      <c r="G113" s="58">
        <v>0</v>
      </c>
      <c r="H113" s="58">
        <v>282000</v>
      </c>
      <c r="I113" s="58">
        <v>262000</v>
      </c>
      <c r="J113" s="58">
        <v>0</v>
      </c>
      <c r="K113" s="58">
        <v>352000</v>
      </c>
      <c r="L113" s="1"/>
      <c r="M113" s="1"/>
      <c r="N113" s="1"/>
      <c r="O113" s="1"/>
      <c r="P113" s="1"/>
      <c r="R113" s="1"/>
      <c r="S113" s="1"/>
      <c r="T113" s="1"/>
      <c r="U113" s="1"/>
      <c r="V113" s="1"/>
      <c r="X113" s="1"/>
      <c r="Y113" s="1"/>
      <c r="Z113" s="1"/>
      <c r="AA113" s="1"/>
      <c r="AB113" s="1"/>
      <c r="AD113" s="1"/>
      <c r="AE113" s="1"/>
      <c r="AF113" s="1"/>
      <c r="AG113" s="1"/>
      <c r="AH113" s="1"/>
      <c r="AP113" s="1"/>
      <c r="AQ113" s="1"/>
      <c r="AR113" s="1"/>
      <c r="AS113" s="1"/>
      <c r="AT113" s="1"/>
    </row>
    <row r="114" spans="1:46" x14ac:dyDescent="0.25">
      <c r="A114" s="9">
        <f t="shared" si="1"/>
        <v>111</v>
      </c>
      <c r="B114" s="51" t="s">
        <v>638</v>
      </c>
      <c r="C114" s="50"/>
      <c r="D114" s="50"/>
      <c r="E114" s="50" t="s">
        <v>366</v>
      </c>
      <c r="F114" s="58">
        <v>0</v>
      </c>
      <c r="G114" s="58">
        <v>352000</v>
      </c>
      <c r="H114" s="58">
        <v>321000</v>
      </c>
      <c r="I114" s="58">
        <v>302000</v>
      </c>
      <c r="J114" s="58">
        <v>271000</v>
      </c>
      <c r="K114" s="58">
        <v>0</v>
      </c>
      <c r="L114" s="1"/>
      <c r="M114" s="1"/>
      <c r="N114" s="1"/>
      <c r="O114" s="1"/>
      <c r="P114" s="1"/>
      <c r="R114" s="1"/>
      <c r="S114" s="1"/>
      <c r="T114" s="1"/>
      <c r="U114" s="1"/>
      <c r="V114" s="1"/>
      <c r="X114" s="1"/>
      <c r="Y114" s="1"/>
      <c r="Z114" s="1"/>
      <c r="AA114" s="1"/>
      <c r="AB114" s="1"/>
      <c r="AD114" s="1"/>
      <c r="AE114" s="1"/>
      <c r="AF114" s="1"/>
      <c r="AG114" s="1"/>
      <c r="AH114" s="1"/>
      <c r="AP114" s="1"/>
      <c r="AQ114" s="1"/>
      <c r="AR114" s="1"/>
      <c r="AS114" s="1"/>
      <c r="AT114" s="1"/>
    </row>
    <row r="115" spans="1:46" x14ac:dyDescent="0.25">
      <c r="A115" s="9">
        <f t="shared" si="1"/>
        <v>112</v>
      </c>
      <c r="B115" s="51" t="s">
        <v>638</v>
      </c>
      <c r="C115" s="50" t="s">
        <v>286</v>
      </c>
      <c r="D115" s="50"/>
      <c r="E115" s="50"/>
      <c r="F115" s="58">
        <v>0</v>
      </c>
      <c r="G115" s="58">
        <v>0</v>
      </c>
      <c r="H115" s="58">
        <v>342000</v>
      </c>
      <c r="I115" s="58">
        <v>332000</v>
      </c>
      <c r="J115" s="58">
        <v>0</v>
      </c>
      <c r="K115" s="58">
        <v>392000</v>
      </c>
      <c r="L115" s="1"/>
      <c r="M115" s="1"/>
      <c r="N115" s="1"/>
      <c r="O115" s="1"/>
      <c r="P115" s="1"/>
      <c r="R115" s="1"/>
      <c r="S115" s="1"/>
      <c r="T115" s="1"/>
      <c r="U115" s="1"/>
      <c r="V115" s="1"/>
      <c r="X115" s="1"/>
      <c r="Y115" s="1"/>
      <c r="Z115" s="1"/>
      <c r="AA115" s="1"/>
      <c r="AB115" s="1"/>
      <c r="AD115" s="1"/>
      <c r="AE115" s="1"/>
      <c r="AF115" s="1"/>
      <c r="AG115" s="1"/>
      <c r="AH115" s="1"/>
      <c r="AP115" s="1"/>
      <c r="AQ115" s="1"/>
      <c r="AR115" s="1"/>
      <c r="AS115" s="1"/>
      <c r="AT115" s="1"/>
    </row>
    <row r="116" spans="1:46" x14ac:dyDescent="0.25">
      <c r="A116" s="9">
        <f t="shared" si="1"/>
        <v>113</v>
      </c>
      <c r="B116" s="51" t="s">
        <v>638</v>
      </c>
      <c r="C116" s="50" t="s">
        <v>304</v>
      </c>
      <c r="D116" s="50"/>
      <c r="E116" s="50"/>
      <c r="F116" s="58">
        <v>1328000</v>
      </c>
      <c r="G116" s="58">
        <v>0</v>
      </c>
      <c r="H116" s="58">
        <v>321000</v>
      </c>
      <c r="I116" s="58">
        <v>302000</v>
      </c>
      <c r="J116" s="58">
        <v>0</v>
      </c>
      <c r="K116" s="58">
        <v>392000</v>
      </c>
      <c r="L116" s="1"/>
      <c r="M116" s="1"/>
      <c r="N116" s="1"/>
      <c r="O116" s="1"/>
      <c r="P116" s="1"/>
      <c r="R116" s="1"/>
      <c r="S116" s="1"/>
      <c r="T116" s="1"/>
      <c r="U116" s="1"/>
      <c r="V116" s="1"/>
      <c r="X116" s="1"/>
      <c r="Y116" s="1"/>
      <c r="Z116" s="1"/>
      <c r="AA116" s="1"/>
      <c r="AB116" s="1"/>
      <c r="AD116" s="1"/>
      <c r="AE116" s="1"/>
      <c r="AF116" s="1"/>
      <c r="AG116" s="1"/>
      <c r="AH116" s="1"/>
      <c r="AP116" s="1"/>
      <c r="AQ116" s="1"/>
      <c r="AR116" s="1"/>
      <c r="AS116" s="1"/>
      <c r="AT116" s="1"/>
    </row>
    <row r="117" spans="1:46" ht="31.5" x14ac:dyDescent="0.25">
      <c r="A117" s="9">
        <f t="shared" si="1"/>
        <v>114</v>
      </c>
      <c r="B117" s="51" t="s">
        <v>638</v>
      </c>
      <c r="C117" s="50" t="s">
        <v>305</v>
      </c>
      <c r="D117" s="50"/>
      <c r="E117" s="50" t="s">
        <v>708</v>
      </c>
      <c r="F117" s="58">
        <v>1328000</v>
      </c>
      <c r="G117" s="58">
        <v>0</v>
      </c>
      <c r="H117" s="58">
        <v>321000</v>
      </c>
      <c r="I117" s="58">
        <v>302000</v>
      </c>
      <c r="J117" s="58">
        <v>0</v>
      </c>
      <c r="K117" s="58">
        <v>392000</v>
      </c>
      <c r="L117" s="1"/>
      <c r="M117" s="1"/>
      <c r="N117" s="1"/>
      <c r="O117" s="1"/>
      <c r="P117" s="1"/>
      <c r="R117" s="1"/>
      <c r="S117" s="1"/>
      <c r="T117" s="1"/>
      <c r="U117" s="1"/>
      <c r="V117" s="1"/>
      <c r="X117" s="1"/>
      <c r="Y117" s="1"/>
      <c r="Z117" s="1"/>
      <c r="AA117" s="1"/>
      <c r="AB117" s="1"/>
      <c r="AD117" s="1"/>
      <c r="AE117" s="1"/>
      <c r="AF117" s="1"/>
      <c r="AG117" s="1"/>
      <c r="AH117" s="1"/>
      <c r="AP117" s="1"/>
      <c r="AQ117" s="1"/>
      <c r="AR117" s="1"/>
      <c r="AS117" s="1"/>
      <c r="AT117" s="1"/>
    </row>
    <row r="118" spans="1:46" x14ac:dyDescent="0.25">
      <c r="A118" s="9">
        <f t="shared" si="1"/>
        <v>115</v>
      </c>
      <c r="B118" s="51" t="s">
        <v>638</v>
      </c>
      <c r="C118" s="50"/>
      <c r="D118" s="50" t="s">
        <v>371</v>
      </c>
      <c r="E118" s="50"/>
      <c r="F118" s="58">
        <v>664000</v>
      </c>
      <c r="G118" s="58">
        <v>0</v>
      </c>
      <c r="H118" s="58">
        <v>151000</v>
      </c>
      <c r="I118" s="58">
        <v>140000</v>
      </c>
      <c r="J118" s="58">
        <v>131000</v>
      </c>
      <c r="K118" s="58">
        <v>0</v>
      </c>
      <c r="L118" s="1"/>
      <c r="M118" s="1"/>
      <c r="N118" s="1"/>
      <c r="O118" s="1"/>
      <c r="P118" s="1"/>
      <c r="R118" s="1"/>
      <c r="S118" s="1"/>
      <c r="T118" s="1"/>
      <c r="U118" s="1"/>
      <c r="V118" s="1"/>
      <c r="X118" s="1"/>
      <c r="Y118" s="1"/>
      <c r="Z118" s="1"/>
      <c r="AA118" s="1"/>
      <c r="AB118" s="1"/>
      <c r="AD118" s="1"/>
      <c r="AE118" s="1"/>
      <c r="AF118" s="1"/>
      <c r="AG118" s="1"/>
      <c r="AH118" s="1"/>
      <c r="AP118" s="1"/>
      <c r="AQ118" s="1"/>
      <c r="AR118" s="1"/>
      <c r="AS118" s="1"/>
      <c r="AT118" s="1"/>
    </row>
    <row r="119" spans="1:46" x14ac:dyDescent="0.25">
      <c r="A119" s="9">
        <f t="shared" si="1"/>
        <v>116</v>
      </c>
      <c r="B119" s="51" t="s">
        <v>638</v>
      </c>
      <c r="C119" s="50" t="s">
        <v>316</v>
      </c>
      <c r="D119" s="50"/>
      <c r="E119" s="50"/>
      <c r="F119" s="58">
        <v>1106000</v>
      </c>
      <c r="G119" s="58">
        <v>0</v>
      </c>
      <c r="H119" s="58">
        <v>282000</v>
      </c>
      <c r="I119" s="58">
        <v>262000</v>
      </c>
      <c r="J119" s="58">
        <v>0</v>
      </c>
      <c r="K119" s="58">
        <v>352000</v>
      </c>
      <c r="L119" s="1"/>
      <c r="M119" s="1"/>
      <c r="N119" s="1"/>
      <c r="O119" s="1"/>
      <c r="P119" s="1"/>
      <c r="R119" s="1"/>
      <c r="S119" s="1"/>
      <c r="T119" s="1"/>
      <c r="U119" s="1"/>
      <c r="V119" s="1"/>
      <c r="X119" s="1"/>
      <c r="Y119" s="1"/>
      <c r="Z119" s="1"/>
      <c r="AA119" s="1"/>
      <c r="AB119" s="1"/>
      <c r="AD119" s="1"/>
      <c r="AE119" s="1"/>
      <c r="AF119" s="1"/>
      <c r="AG119" s="1"/>
      <c r="AH119" s="1"/>
      <c r="AP119" s="1"/>
      <c r="AQ119" s="1"/>
      <c r="AR119" s="1"/>
      <c r="AS119" s="1"/>
      <c r="AT119" s="1"/>
    </row>
    <row r="120" spans="1:46" x14ac:dyDescent="0.25">
      <c r="A120" s="9">
        <f t="shared" si="1"/>
        <v>117</v>
      </c>
      <c r="B120" s="51" t="s">
        <v>638</v>
      </c>
      <c r="C120" s="50" t="s">
        <v>287</v>
      </c>
      <c r="D120" s="50"/>
      <c r="E120" s="50"/>
      <c r="F120" s="58">
        <v>0</v>
      </c>
      <c r="G120" s="58">
        <v>0</v>
      </c>
      <c r="H120" s="58">
        <v>342000</v>
      </c>
      <c r="I120" s="58">
        <v>332000</v>
      </c>
      <c r="J120" s="58">
        <v>0</v>
      </c>
      <c r="K120" s="58">
        <v>392000</v>
      </c>
      <c r="L120" s="1"/>
      <c r="M120" s="1"/>
      <c r="N120" s="1"/>
      <c r="O120" s="1"/>
      <c r="P120" s="1"/>
      <c r="R120" s="1"/>
      <c r="S120" s="1"/>
      <c r="T120" s="1"/>
      <c r="U120" s="1"/>
      <c r="V120" s="1"/>
      <c r="X120" s="1"/>
      <c r="Y120" s="1"/>
      <c r="Z120" s="1"/>
      <c r="AA120" s="1"/>
      <c r="AB120" s="1"/>
      <c r="AD120" s="1"/>
      <c r="AE120" s="1"/>
      <c r="AF120" s="1"/>
      <c r="AG120" s="1"/>
      <c r="AH120" s="1"/>
      <c r="AP120" s="1"/>
      <c r="AQ120" s="1"/>
      <c r="AR120" s="1"/>
      <c r="AS120" s="1"/>
      <c r="AT120" s="1"/>
    </row>
    <row r="121" spans="1:46" x14ac:dyDescent="0.25">
      <c r="A121" s="9">
        <f t="shared" si="1"/>
        <v>118</v>
      </c>
      <c r="B121" s="51" t="s">
        <v>638</v>
      </c>
      <c r="C121" s="50" t="s">
        <v>320</v>
      </c>
      <c r="D121" s="50"/>
      <c r="E121" s="50"/>
      <c r="F121" s="58">
        <v>1608000</v>
      </c>
      <c r="G121" s="58">
        <v>0</v>
      </c>
      <c r="H121" s="58">
        <v>342000</v>
      </c>
      <c r="I121" s="58">
        <v>312000</v>
      </c>
      <c r="J121" s="58">
        <v>0</v>
      </c>
      <c r="K121" s="58">
        <v>412000</v>
      </c>
      <c r="L121" s="1"/>
      <c r="M121" s="1"/>
      <c r="N121" s="1"/>
      <c r="O121" s="1"/>
      <c r="P121" s="1"/>
      <c r="R121" s="1"/>
      <c r="S121" s="1"/>
      <c r="T121" s="1"/>
      <c r="U121" s="1"/>
      <c r="V121" s="1"/>
      <c r="X121" s="1"/>
      <c r="Y121" s="1"/>
      <c r="Z121" s="1"/>
      <c r="AA121" s="1"/>
      <c r="AB121" s="1"/>
      <c r="AD121" s="1"/>
      <c r="AE121" s="1"/>
      <c r="AF121" s="1"/>
      <c r="AG121" s="1"/>
      <c r="AH121" s="1"/>
      <c r="AP121" s="1"/>
      <c r="AQ121" s="1"/>
      <c r="AR121" s="1"/>
      <c r="AS121" s="1"/>
      <c r="AT121" s="1"/>
    </row>
    <row r="122" spans="1:46" x14ac:dyDescent="0.25">
      <c r="A122" s="9">
        <f t="shared" si="1"/>
        <v>119</v>
      </c>
      <c r="B122" s="51" t="s">
        <v>638</v>
      </c>
      <c r="C122" s="50" t="s">
        <v>306</v>
      </c>
      <c r="D122" s="50"/>
      <c r="E122" s="50"/>
      <c r="F122" s="58">
        <v>1328000</v>
      </c>
      <c r="G122" s="58">
        <v>0</v>
      </c>
      <c r="H122" s="58">
        <v>321000</v>
      </c>
      <c r="I122" s="58">
        <v>302000</v>
      </c>
      <c r="J122" s="58">
        <v>0</v>
      </c>
      <c r="K122" s="58">
        <v>392000</v>
      </c>
      <c r="L122" s="1"/>
      <c r="M122" s="1"/>
      <c r="N122" s="1"/>
      <c r="O122" s="1"/>
      <c r="P122" s="1"/>
      <c r="R122" s="1"/>
      <c r="S122" s="1"/>
      <c r="T122" s="1"/>
      <c r="U122" s="1"/>
      <c r="V122" s="1"/>
      <c r="X122" s="1"/>
      <c r="Y122" s="1"/>
      <c r="Z122" s="1"/>
      <c r="AA122" s="1"/>
      <c r="AB122" s="1"/>
      <c r="AD122" s="1"/>
      <c r="AE122" s="1"/>
      <c r="AF122" s="1"/>
      <c r="AG122" s="1"/>
      <c r="AH122" s="1"/>
      <c r="AP122" s="1"/>
      <c r="AQ122" s="1"/>
      <c r="AR122" s="1"/>
      <c r="AS122" s="1"/>
      <c r="AT122" s="1"/>
    </row>
    <row r="123" spans="1:46" ht="31.5" x14ac:dyDescent="0.25">
      <c r="A123" s="9">
        <f t="shared" si="1"/>
        <v>120</v>
      </c>
      <c r="B123" s="51" t="s">
        <v>638</v>
      </c>
      <c r="C123" s="50" t="s">
        <v>307</v>
      </c>
      <c r="D123" s="50"/>
      <c r="E123" s="50" t="s">
        <v>709</v>
      </c>
      <c r="F123" s="58">
        <v>1328000</v>
      </c>
      <c r="G123" s="58">
        <v>0</v>
      </c>
      <c r="H123" s="58">
        <v>321000</v>
      </c>
      <c r="I123" s="58">
        <v>302000</v>
      </c>
      <c r="J123" s="58">
        <v>0</v>
      </c>
      <c r="K123" s="58">
        <v>392000</v>
      </c>
      <c r="L123" s="1"/>
      <c r="M123" s="1"/>
      <c r="N123" s="1"/>
      <c r="O123" s="1"/>
      <c r="P123" s="1"/>
      <c r="R123" s="1"/>
      <c r="S123" s="1"/>
      <c r="T123" s="1"/>
      <c r="U123" s="1"/>
      <c r="V123" s="1"/>
      <c r="X123" s="1"/>
      <c r="Y123" s="1"/>
      <c r="Z123" s="1"/>
      <c r="AA123" s="1"/>
      <c r="AB123" s="1"/>
      <c r="AD123" s="1"/>
      <c r="AE123" s="1"/>
      <c r="AF123" s="1"/>
      <c r="AG123" s="1"/>
      <c r="AH123" s="1"/>
      <c r="AP123" s="1"/>
      <c r="AQ123" s="1"/>
      <c r="AR123" s="1"/>
      <c r="AS123" s="1"/>
      <c r="AT123" s="1"/>
    </row>
    <row r="124" spans="1:46" x14ac:dyDescent="0.25">
      <c r="A124" s="9">
        <f t="shared" si="1"/>
        <v>121</v>
      </c>
      <c r="B124" s="51" t="s">
        <v>638</v>
      </c>
      <c r="C124" s="50" t="s">
        <v>288</v>
      </c>
      <c r="D124" s="50"/>
      <c r="E124" s="50"/>
      <c r="F124" s="58">
        <v>0</v>
      </c>
      <c r="G124" s="58">
        <v>0</v>
      </c>
      <c r="H124" s="58">
        <v>342000</v>
      </c>
      <c r="I124" s="58">
        <v>332000</v>
      </c>
      <c r="J124" s="58">
        <v>0</v>
      </c>
      <c r="K124" s="58">
        <v>392000</v>
      </c>
      <c r="L124" s="1"/>
      <c r="M124" s="1"/>
      <c r="N124" s="1"/>
      <c r="O124" s="1"/>
      <c r="P124" s="1"/>
      <c r="R124" s="1"/>
      <c r="S124" s="1"/>
      <c r="T124" s="1"/>
      <c r="U124" s="1"/>
      <c r="V124" s="1"/>
      <c r="X124" s="1"/>
      <c r="Y124" s="1"/>
      <c r="Z124" s="1"/>
      <c r="AA124" s="1"/>
      <c r="AB124" s="1"/>
      <c r="AD124" s="1"/>
      <c r="AE124" s="1"/>
      <c r="AF124" s="1"/>
      <c r="AG124" s="1"/>
      <c r="AH124" s="1"/>
      <c r="AP124" s="1"/>
      <c r="AQ124" s="1"/>
      <c r="AR124" s="1"/>
      <c r="AS124" s="1"/>
      <c r="AT124" s="1"/>
    </row>
    <row r="125" spans="1:46" x14ac:dyDescent="0.25">
      <c r="A125" s="9">
        <f t="shared" si="1"/>
        <v>122</v>
      </c>
      <c r="B125" s="51" t="s">
        <v>638</v>
      </c>
      <c r="C125" s="50" t="s">
        <v>367</v>
      </c>
      <c r="D125" s="50"/>
      <c r="E125" s="50"/>
      <c r="F125" s="58">
        <v>1106000</v>
      </c>
      <c r="G125" s="58">
        <v>0</v>
      </c>
      <c r="H125" s="58">
        <v>0</v>
      </c>
      <c r="I125" s="58">
        <v>282000</v>
      </c>
      <c r="J125" s="58">
        <v>266000</v>
      </c>
      <c r="K125" s="58">
        <v>302000</v>
      </c>
      <c r="L125" s="1"/>
      <c r="M125" s="1"/>
      <c r="N125" s="1"/>
      <c r="O125" s="1"/>
      <c r="P125" s="1"/>
      <c r="R125" s="1"/>
      <c r="S125" s="1"/>
      <c r="T125" s="1"/>
      <c r="U125" s="1"/>
      <c r="V125" s="1"/>
      <c r="X125" s="1"/>
      <c r="Y125" s="1"/>
      <c r="Z125" s="1"/>
      <c r="AA125" s="1"/>
      <c r="AB125" s="1"/>
      <c r="AD125" s="1"/>
      <c r="AE125" s="1"/>
      <c r="AF125" s="1"/>
      <c r="AG125" s="1"/>
      <c r="AH125" s="1"/>
      <c r="AP125" s="1"/>
      <c r="AQ125" s="1"/>
      <c r="AR125" s="1"/>
      <c r="AS125" s="1"/>
      <c r="AT125" s="1"/>
    </row>
    <row r="126" spans="1:46" x14ac:dyDescent="0.25">
      <c r="A126" s="9">
        <f t="shared" si="1"/>
        <v>123</v>
      </c>
      <c r="B126" s="51" t="s">
        <v>638</v>
      </c>
      <c r="C126" s="50" t="s">
        <v>317</v>
      </c>
      <c r="D126" s="50"/>
      <c r="E126" s="50"/>
      <c r="F126" s="58">
        <v>1106000</v>
      </c>
      <c r="G126" s="58">
        <v>0</v>
      </c>
      <c r="H126" s="58">
        <v>282000</v>
      </c>
      <c r="I126" s="58">
        <v>262000</v>
      </c>
      <c r="J126" s="58">
        <v>0</v>
      </c>
      <c r="K126" s="58">
        <v>352000</v>
      </c>
      <c r="L126" s="1"/>
      <c r="M126" s="1"/>
      <c r="N126" s="1"/>
      <c r="O126" s="1"/>
      <c r="P126" s="1"/>
      <c r="R126" s="1"/>
      <c r="S126" s="1"/>
      <c r="T126" s="1"/>
      <c r="U126" s="1"/>
      <c r="V126" s="1"/>
      <c r="X126" s="1"/>
      <c r="Y126" s="1"/>
      <c r="Z126" s="1"/>
      <c r="AA126" s="1"/>
      <c r="AB126" s="1"/>
      <c r="AD126" s="1"/>
      <c r="AE126" s="1"/>
      <c r="AF126" s="1"/>
      <c r="AG126" s="1"/>
      <c r="AH126" s="1"/>
      <c r="AP126" s="1"/>
      <c r="AQ126" s="1"/>
      <c r="AR126" s="1"/>
      <c r="AS126" s="1"/>
      <c r="AT126" s="1"/>
    </row>
    <row r="127" spans="1:46" x14ac:dyDescent="0.25">
      <c r="A127" s="9">
        <f t="shared" si="1"/>
        <v>124</v>
      </c>
      <c r="B127" s="51" t="s">
        <v>638</v>
      </c>
      <c r="C127" s="50" t="s">
        <v>368</v>
      </c>
      <c r="D127" s="50"/>
      <c r="E127" s="50"/>
      <c r="F127" s="58">
        <v>1106000</v>
      </c>
      <c r="G127" s="58">
        <v>0</v>
      </c>
      <c r="H127" s="58">
        <v>0</v>
      </c>
      <c r="I127" s="58">
        <v>282000</v>
      </c>
      <c r="J127" s="58">
        <v>266000</v>
      </c>
      <c r="K127" s="58">
        <v>302000</v>
      </c>
      <c r="L127" s="1"/>
      <c r="M127" s="1"/>
      <c r="N127" s="1"/>
      <c r="O127" s="1"/>
      <c r="P127" s="1"/>
      <c r="R127" s="1"/>
      <c r="S127" s="1"/>
      <c r="T127" s="1"/>
      <c r="U127" s="1"/>
      <c r="V127" s="1"/>
      <c r="X127" s="1"/>
      <c r="Y127" s="1"/>
      <c r="Z127" s="1"/>
      <c r="AA127" s="1"/>
      <c r="AB127" s="1"/>
      <c r="AD127" s="1"/>
      <c r="AE127" s="1"/>
      <c r="AF127" s="1"/>
      <c r="AG127" s="1"/>
      <c r="AH127" s="1"/>
      <c r="AP127" s="1"/>
      <c r="AQ127" s="1"/>
      <c r="AR127" s="1"/>
      <c r="AS127" s="1"/>
      <c r="AT127" s="1"/>
    </row>
    <row r="128" spans="1:46" x14ac:dyDescent="0.25">
      <c r="A128" s="9">
        <f t="shared" si="1"/>
        <v>125</v>
      </c>
      <c r="B128" s="51" t="s">
        <v>638</v>
      </c>
      <c r="C128" s="50" t="s">
        <v>318</v>
      </c>
      <c r="D128" s="50"/>
      <c r="E128" s="50"/>
      <c r="F128" s="58">
        <v>1106000</v>
      </c>
      <c r="G128" s="58">
        <v>0</v>
      </c>
      <c r="H128" s="58">
        <v>282000</v>
      </c>
      <c r="I128" s="58">
        <v>262000</v>
      </c>
      <c r="J128" s="58">
        <v>0</v>
      </c>
      <c r="K128" s="58">
        <v>352000</v>
      </c>
      <c r="L128" s="1"/>
      <c r="M128" s="1"/>
      <c r="N128" s="1"/>
      <c r="O128" s="1"/>
      <c r="P128" s="1"/>
      <c r="R128" s="1"/>
      <c r="S128" s="1"/>
      <c r="T128" s="1"/>
      <c r="U128" s="1"/>
      <c r="V128" s="1"/>
      <c r="X128" s="1"/>
      <c r="Y128" s="1"/>
      <c r="Z128" s="1"/>
      <c r="AA128" s="1"/>
      <c r="AB128" s="1"/>
      <c r="AD128" s="1"/>
      <c r="AE128" s="1"/>
      <c r="AF128" s="1"/>
      <c r="AG128" s="1"/>
      <c r="AH128" s="1"/>
      <c r="AP128" s="1"/>
      <c r="AQ128" s="1"/>
      <c r="AR128" s="1"/>
      <c r="AS128" s="1"/>
      <c r="AT128" s="1"/>
    </row>
    <row r="129" spans="1:46" x14ac:dyDescent="0.25">
      <c r="A129" s="9">
        <f t="shared" si="1"/>
        <v>126</v>
      </c>
      <c r="B129" s="51" t="s">
        <v>638</v>
      </c>
      <c r="C129" s="50" t="s">
        <v>289</v>
      </c>
      <c r="D129" s="50"/>
      <c r="E129" s="50"/>
      <c r="F129" s="58">
        <v>0</v>
      </c>
      <c r="G129" s="58">
        <v>0</v>
      </c>
      <c r="H129" s="58">
        <v>342000</v>
      </c>
      <c r="I129" s="58">
        <v>332000</v>
      </c>
      <c r="J129" s="58">
        <v>0</v>
      </c>
      <c r="K129" s="58">
        <v>392000</v>
      </c>
      <c r="L129" s="1"/>
      <c r="M129" s="1"/>
      <c r="N129" s="1"/>
      <c r="O129" s="1"/>
      <c r="P129" s="1"/>
      <c r="R129" s="1"/>
      <c r="S129" s="1"/>
      <c r="T129" s="1"/>
      <c r="U129" s="1"/>
      <c r="V129" s="1"/>
      <c r="X129" s="1"/>
      <c r="Y129" s="1"/>
      <c r="Z129" s="1"/>
      <c r="AA129" s="1"/>
      <c r="AB129" s="1"/>
      <c r="AD129" s="1"/>
      <c r="AE129" s="1"/>
      <c r="AF129" s="1"/>
      <c r="AG129" s="1"/>
      <c r="AH129" s="1"/>
      <c r="AP129" s="1"/>
      <c r="AQ129" s="1"/>
      <c r="AR129" s="1"/>
      <c r="AS129" s="1"/>
      <c r="AT129" s="1"/>
    </row>
    <row r="130" spans="1:46" x14ac:dyDescent="0.25">
      <c r="A130" s="9">
        <f t="shared" si="1"/>
        <v>127</v>
      </c>
      <c r="B130" s="51" t="s">
        <v>638</v>
      </c>
      <c r="C130" s="50" t="s">
        <v>313</v>
      </c>
      <c r="D130" s="50"/>
      <c r="E130" s="50"/>
      <c r="F130" s="58">
        <v>1608000</v>
      </c>
      <c r="G130" s="58">
        <v>0</v>
      </c>
      <c r="H130" s="58">
        <v>342000</v>
      </c>
      <c r="I130" s="58">
        <v>312000</v>
      </c>
      <c r="J130" s="58">
        <v>0</v>
      </c>
      <c r="K130" s="58">
        <v>412000</v>
      </c>
      <c r="L130" s="1"/>
      <c r="M130" s="1"/>
      <c r="N130" s="1"/>
      <c r="O130" s="1"/>
      <c r="P130" s="1"/>
      <c r="R130" s="1"/>
      <c r="S130" s="1"/>
      <c r="T130" s="1"/>
      <c r="U130" s="1"/>
      <c r="V130" s="1"/>
      <c r="X130" s="1"/>
      <c r="Y130" s="1"/>
      <c r="Z130" s="1"/>
      <c r="AA130" s="1"/>
      <c r="AB130" s="1"/>
      <c r="AD130" s="1"/>
      <c r="AE130" s="1"/>
      <c r="AF130" s="1"/>
      <c r="AG130" s="1"/>
      <c r="AH130" s="1"/>
      <c r="AP130" s="1"/>
      <c r="AQ130" s="1"/>
      <c r="AR130" s="1"/>
      <c r="AS130" s="1"/>
      <c r="AT130" s="1"/>
    </row>
    <row r="131" spans="1:46" x14ac:dyDescent="0.25">
      <c r="A131" s="9">
        <f t="shared" si="1"/>
        <v>128</v>
      </c>
      <c r="B131" s="51" t="s">
        <v>638</v>
      </c>
      <c r="C131" s="50" t="s">
        <v>291</v>
      </c>
      <c r="D131" s="50"/>
      <c r="E131" s="50"/>
      <c r="F131" s="58">
        <v>0</v>
      </c>
      <c r="G131" s="58">
        <v>0</v>
      </c>
      <c r="H131" s="58">
        <v>352000</v>
      </c>
      <c r="I131" s="58">
        <v>332000</v>
      </c>
      <c r="J131" s="58">
        <v>0</v>
      </c>
      <c r="K131" s="58">
        <v>412000</v>
      </c>
      <c r="L131" s="1"/>
      <c r="M131" s="1"/>
      <c r="N131" s="1"/>
      <c r="O131" s="1"/>
      <c r="P131" s="1"/>
      <c r="R131" s="1"/>
      <c r="S131" s="1"/>
      <c r="T131" s="1"/>
      <c r="U131" s="1"/>
      <c r="V131" s="1"/>
      <c r="X131" s="1"/>
      <c r="Y131" s="1"/>
      <c r="Z131" s="1"/>
      <c r="AA131" s="1"/>
      <c r="AB131" s="1"/>
      <c r="AD131" s="1"/>
      <c r="AE131" s="1"/>
      <c r="AF131" s="1"/>
      <c r="AG131" s="1"/>
      <c r="AH131" s="1"/>
      <c r="AP131" s="1"/>
      <c r="AQ131" s="1"/>
      <c r="AR131" s="1"/>
      <c r="AS131" s="1"/>
      <c r="AT131" s="1"/>
    </row>
    <row r="132" spans="1:46" x14ac:dyDescent="0.25">
      <c r="A132" s="9">
        <f t="shared" si="1"/>
        <v>129</v>
      </c>
      <c r="B132" s="51" t="s">
        <v>638</v>
      </c>
      <c r="C132" s="50" t="s">
        <v>292</v>
      </c>
      <c r="D132" s="50"/>
      <c r="E132" s="50"/>
      <c r="F132" s="58">
        <v>0</v>
      </c>
      <c r="G132" s="58">
        <v>0</v>
      </c>
      <c r="H132" s="58">
        <v>352000</v>
      </c>
      <c r="I132" s="58">
        <v>332000</v>
      </c>
      <c r="J132" s="58">
        <v>0</v>
      </c>
      <c r="K132" s="58">
        <v>412000</v>
      </c>
      <c r="L132" s="1"/>
      <c r="M132" s="1"/>
      <c r="N132" s="1"/>
      <c r="O132" s="1"/>
      <c r="P132" s="1"/>
      <c r="R132" s="1"/>
      <c r="S132" s="1"/>
      <c r="T132" s="1"/>
      <c r="U132" s="1"/>
      <c r="V132" s="1"/>
      <c r="X132" s="1"/>
      <c r="Y132" s="1"/>
      <c r="Z132" s="1"/>
      <c r="AA132" s="1"/>
      <c r="AB132" s="1"/>
      <c r="AD132" s="1"/>
      <c r="AE132" s="1"/>
      <c r="AF132" s="1"/>
      <c r="AG132" s="1"/>
      <c r="AH132" s="1"/>
      <c r="AP132" s="1"/>
      <c r="AQ132" s="1"/>
      <c r="AR132" s="1"/>
      <c r="AS132" s="1"/>
      <c r="AT132" s="1"/>
    </row>
    <row r="133" spans="1:46" x14ac:dyDescent="0.25">
      <c r="A133" s="9">
        <f t="shared" ref="A133:A196" si="2">A132+1</f>
        <v>130</v>
      </c>
      <c r="B133" s="51" t="s">
        <v>638</v>
      </c>
      <c r="C133" s="50" t="s">
        <v>369</v>
      </c>
      <c r="D133" s="50"/>
      <c r="E133" s="50"/>
      <c r="F133" s="58">
        <v>1106000</v>
      </c>
      <c r="G133" s="58">
        <v>0</v>
      </c>
      <c r="H133" s="58">
        <v>0</v>
      </c>
      <c r="I133" s="58">
        <v>282000</v>
      </c>
      <c r="J133" s="58">
        <v>266000</v>
      </c>
      <c r="K133" s="58">
        <v>302000</v>
      </c>
      <c r="L133" s="1"/>
      <c r="M133" s="1"/>
      <c r="N133" s="1"/>
      <c r="O133" s="1"/>
      <c r="P133" s="1"/>
      <c r="R133" s="1"/>
      <c r="S133" s="1"/>
      <c r="T133" s="1"/>
      <c r="U133" s="1"/>
      <c r="V133" s="1"/>
      <c r="X133" s="1"/>
      <c r="Y133" s="1"/>
      <c r="Z133" s="1"/>
      <c r="AA133" s="1"/>
      <c r="AB133" s="1"/>
      <c r="AD133" s="1"/>
      <c r="AE133" s="1"/>
      <c r="AF133" s="1"/>
      <c r="AG133" s="1"/>
      <c r="AH133" s="1"/>
      <c r="AP133" s="1"/>
      <c r="AQ133" s="1"/>
      <c r="AR133" s="1"/>
      <c r="AS133" s="1"/>
      <c r="AT133" s="1"/>
    </row>
    <row r="134" spans="1:46" x14ac:dyDescent="0.25">
      <c r="A134" s="9">
        <f t="shared" si="2"/>
        <v>131</v>
      </c>
      <c r="B134" s="51" t="s">
        <v>638</v>
      </c>
      <c r="C134" s="50" t="s">
        <v>319</v>
      </c>
      <c r="D134" s="50"/>
      <c r="E134" s="50"/>
      <c r="F134" s="58">
        <v>1106000</v>
      </c>
      <c r="G134" s="58">
        <v>0</v>
      </c>
      <c r="H134" s="58">
        <v>282000</v>
      </c>
      <c r="I134" s="58">
        <v>262000</v>
      </c>
      <c r="J134" s="58">
        <v>0</v>
      </c>
      <c r="K134" s="58">
        <v>352000</v>
      </c>
      <c r="L134" s="1"/>
      <c r="M134" s="1"/>
      <c r="N134" s="1"/>
      <c r="O134" s="1"/>
      <c r="P134" s="1"/>
      <c r="R134" s="1"/>
      <c r="S134" s="1"/>
      <c r="T134" s="1"/>
      <c r="U134" s="1"/>
      <c r="V134" s="1"/>
      <c r="X134" s="1"/>
      <c r="Y134" s="1"/>
      <c r="Z134" s="1"/>
      <c r="AA134" s="1"/>
      <c r="AB134" s="1"/>
      <c r="AD134" s="1"/>
      <c r="AE134" s="1"/>
      <c r="AF134" s="1"/>
      <c r="AG134" s="1"/>
      <c r="AH134" s="1"/>
      <c r="AP134" s="1"/>
      <c r="AQ134" s="1"/>
      <c r="AR134" s="1"/>
      <c r="AS134" s="1"/>
      <c r="AT134" s="1"/>
    </row>
    <row r="135" spans="1:46" x14ac:dyDescent="0.25">
      <c r="A135" s="9">
        <f t="shared" si="2"/>
        <v>132</v>
      </c>
      <c r="B135" s="51" t="s">
        <v>638</v>
      </c>
      <c r="C135" s="50" t="s">
        <v>308</v>
      </c>
      <c r="D135" s="50"/>
      <c r="E135" s="50"/>
      <c r="F135" s="58">
        <v>1328000</v>
      </c>
      <c r="G135" s="58">
        <v>0</v>
      </c>
      <c r="H135" s="58">
        <v>321000</v>
      </c>
      <c r="I135" s="58">
        <v>302000</v>
      </c>
      <c r="J135" s="58">
        <v>0</v>
      </c>
      <c r="K135" s="58">
        <v>392000</v>
      </c>
      <c r="L135" s="1"/>
      <c r="M135" s="1"/>
      <c r="N135" s="1"/>
      <c r="O135" s="1"/>
      <c r="P135" s="1"/>
      <c r="R135" s="1"/>
      <c r="S135" s="1"/>
      <c r="T135" s="1"/>
      <c r="U135" s="1"/>
      <c r="V135" s="1"/>
      <c r="X135" s="1"/>
      <c r="Y135" s="1"/>
      <c r="Z135" s="1"/>
      <c r="AA135" s="1"/>
      <c r="AB135" s="1"/>
      <c r="AD135" s="1"/>
      <c r="AE135" s="1"/>
      <c r="AF135" s="1"/>
      <c r="AG135" s="1"/>
      <c r="AH135" s="1"/>
      <c r="AP135" s="1"/>
      <c r="AQ135" s="1"/>
      <c r="AR135" s="1"/>
      <c r="AS135" s="1"/>
      <c r="AT135" s="1"/>
    </row>
    <row r="136" spans="1:46" x14ac:dyDescent="0.25">
      <c r="A136" s="9">
        <f t="shared" si="2"/>
        <v>133</v>
      </c>
      <c r="B136" s="51" t="s">
        <v>638</v>
      </c>
      <c r="C136" s="50" t="s">
        <v>309</v>
      </c>
      <c r="D136" s="50"/>
      <c r="E136" s="50"/>
      <c r="F136" s="58">
        <v>1328000</v>
      </c>
      <c r="G136" s="58">
        <v>0</v>
      </c>
      <c r="H136" s="58">
        <v>321000</v>
      </c>
      <c r="I136" s="58">
        <v>302000</v>
      </c>
      <c r="J136" s="58">
        <v>0</v>
      </c>
      <c r="K136" s="58">
        <v>392000</v>
      </c>
      <c r="L136" s="1"/>
      <c r="M136" s="1"/>
      <c r="N136" s="1"/>
      <c r="O136" s="1"/>
      <c r="P136" s="1"/>
      <c r="R136" s="1"/>
      <c r="S136" s="1"/>
      <c r="T136" s="1"/>
      <c r="U136" s="1"/>
      <c r="V136" s="1"/>
      <c r="X136" s="1"/>
      <c r="Y136" s="1"/>
      <c r="Z136" s="1"/>
      <c r="AA136" s="1"/>
      <c r="AB136" s="1"/>
      <c r="AD136" s="1"/>
      <c r="AE136" s="1"/>
      <c r="AF136" s="1"/>
      <c r="AG136" s="1"/>
      <c r="AH136" s="1"/>
      <c r="AP136" s="1"/>
      <c r="AQ136" s="1"/>
      <c r="AR136" s="1"/>
      <c r="AS136" s="1"/>
      <c r="AT136" s="1"/>
    </row>
    <row r="137" spans="1:46" x14ac:dyDescent="0.25">
      <c r="A137" s="9">
        <f t="shared" si="2"/>
        <v>134</v>
      </c>
      <c r="B137" s="51" t="s">
        <v>638</v>
      </c>
      <c r="C137" s="50" t="s">
        <v>290</v>
      </c>
      <c r="D137" s="50"/>
      <c r="E137" s="50"/>
      <c r="F137" s="58">
        <v>0</v>
      </c>
      <c r="G137" s="58">
        <v>0</v>
      </c>
      <c r="H137" s="58">
        <v>342000</v>
      </c>
      <c r="I137" s="58">
        <v>332000</v>
      </c>
      <c r="J137" s="58">
        <v>0</v>
      </c>
      <c r="K137" s="58">
        <v>392000</v>
      </c>
      <c r="L137" s="1"/>
      <c r="M137" s="1"/>
      <c r="N137" s="1"/>
      <c r="O137" s="1"/>
      <c r="P137" s="1"/>
      <c r="R137" s="1"/>
      <c r="S137" s="1"/>
      <c r="T137" s="1"/>
      <c r="U137" s="1"/>
      <c r="V137" s="1"/>
      <c r="X137" s="1"/>
      <c r="Y137" s="1"/>
      <c r="Z137" s="1"/>
      <c r="AA137" s="1"/>
      <c r="AB137" s="1"/>
      <c r="AD137" s="1"/>
      <c r="AE137" s="1"/>
      <c r="AF137" s="1"/>
      <c r="AG137" s="1"/>
      <c r="AH137" s="1"/>
      <c r="AP137" s="1"/>
      <c r="AQ137" s="1"/>
      <c r="AR137" s="1"/>
      <c r="AS137" s="1"/>
      <c r="AT137" s="1"/>
    </row>
    <row r="138" spans="1:46" x14ac:dyDescent="0.25">
      <c r="A138" s="9">
        <f t="shared" si="2"/>
        <v>135</v>
      </c>
      <c r="B138" s="51" t="s">
        <v>638</v>
      </c>
      <c r="C138" s="50" t="s">
        <v>55</v>
      </c>
      <c r="D138" s="50"/>
      <c r="E138" s="50"/>
      <c r="F138" s="58">
        <v>1328000</v>
      </c>
      <c r="G138" s="58">
        <v>0</v>
      </c>
      <c r="H138" s="58">
        <v>321000</v>
      </c>
      <c r="I138" s="58">
        <v>302000</v>
      </c>
      <c r="J138" s="58">
        <v>0</v>
      </c>
      <c r="K138" s="58">
        <v>392000</v>
      </c>
      <c r="L138" s="1"/>
      <c r="M138" s="1"/>
      <c r="N138" s="1"/>
      <c r="O138" s="1"/>
      <c r="P138" s="1"/>
      <c r="R138" s="1"/>
      <c r="S138" s="1"/>
      <c r="T138" s="1"/>
      <c r="U138" s="1"/>
      <c r="V138" s="1"/>
      <c r="X138" s="1"/>
      <c r="Y138" s="1"/>
      <c r="Z138" s="1"/>
      <c r="AA138" s="1"/>
      <c r="AB138" s="1"/>
      <c r="AD138" s="1"/>
      <c r="AE138" s="1"/>
      <c r="AF138" s="1"/>
      <c r="AG138" s="1"/>
      <c r="AH138" s="1"/>
      <c r="AP138" s="1"/>
      <c r="AQ138" s="1"/>
      <c r="AR138" s="1"/>
      <c r="AS138" s="1"/>
      <c r="AT138" s="1"/>
    </row>
    <row r="139" spans="1:46" x14ac:dyDescent="0.25">
      <c r="A139" s="9">
        <f t="shared" si="2"/>
        <v>136</v>
      </c>
      <c r="B139" s="51" t="s">
        <v>638</v>
      </c>
      <c r="C139" s="50" t="s">
        <v>310</v>
      </c>
      <c r="D139" s="50"/>
      <c r="E139" s="50"/>
      <c r="F139" s="58">
        <v>1328000</v>
      </c>
      <c r="G139" s="58">
        <v>0</v>
      </c>
      <c r="H139" s="58">
        <v>321000</v>
      </c>
      <c r="I139" s="58">
        <v>302000</v>
      </c>
      <c r="J139" s="58">
        <v>0</v>
      </c>
      <c r="K139" s="58">
        <v>392000</v>
      </c>
      <c r="L139" s="1"/>
      <c r="M139" s="1"/>
      <c r="N139" s="1"/>
      <c r="O139" s="1"/>
      <c r="P139" s="1"/>
      <c r="R139" s="1"/>
      <c r="S139" s="1"/>
      <c r="T139" s="1"/>
      <c r="U139" s="1"/>
      <c r="V139" s="1"/>
      <c r="X139" s="1"/>
      <c r="Y139" s="1"/>
      <c r="Z139" s="1"/>
      <c r="AA139" s="1"/>
      <c r="AB139" s="1"/>
      <c r="AD139" s="1"/>
      <c r="AE139" s="1"/>
      <c r="AF139" s="1"/>
      <c r="AG139" s="1"/>
      <c r="AH139" s="1"/>
      <c r="AP139" s="1"/>
      <c r="AQ139" s="1"/>
      <c r="AR139" s="1"/>
      <c r="AS139" s="1"/>
      <c r="AT139" s="1"/>
    </row>
    <row r="140" spans="1:46" x14ac:dyDescent="0.25">
      <c r="A140" s="9">
        <f t="shared" si="2"/>
        <v>137</v>
      </c>
      <c r="B140" s="51" t="s">
        <v>638</v>
      </c>
      <c r="C140" s="50" t="s">
        <v>461</v>
      </c>
      <c r="D140" s="50"/>
      <c r="E140" s="50" t="s">
        <v>706</v>
      </c>
      <c r="F140" s="58">
        <v>0</v>
      </c>
      <c r="G140" s="58">
        <v>0</v>
      </c>
      <c r="H140" s="58">
        <v>0</v>
      </c>
      <c r="I140" s="58">
        <v>0</v>
      </c>
      <c r="J140" s="58">
        <v>0</v>
      </c>
      <c r="K140" s="58">
        <v>302000</v>
      </c>
      <c r="L140" s="1"/>
      <c r="M140" s="1"/>
      <c r="N140" s="1"/>
      <c r="O140" s="1"/>
      <c r="P140" s="1"/>
      <c r="R140" s="1"/>
      <c r="S140" s="1"/>
      <c r="T140" s="1"/>
      <c r="U140" s="1"/>
      <c r="V140" s="1"/>
      <c r="X140" s="1"/>
      <c r="Y140" s="1"/>
      <c r="Z140" s="1"/>
      <c r="AA140" s="1"/>
      <c r="AB140" s="1"/>
      <c r="AD140" s="1"/>
      <c r="AE140" s="1"/>
      <c r="AF140" s="1"/>
      <c r="AG140" s="1"/>
      <c r="AH140" s="1"/>
      <c r="AP140" s="1"/>
      <c r="AQ140" s="1"/>
      <c r="AR140" s="1"/>
      <c r="AS140" s="1"/>
      <c r="AT140" s="1"/>
    </row>
    <row r="141" spans="1:46" x14ac:dyDescent="0.25">
      <c r="A141" s="9">
        <f t="shared" si="2"/>
        <v>138</v>
      </c>
      <c r="B141" s="51" t="s">
        <v>638</v>
      </c>
      <c r="C141" s="50" t="s">
        <v>370</v>
      </c>
      <c r="D141" s="50"/>
      <c r="E141" s="50"/>
      <c r="F141" s="58">
        <v>1106000</v>
      </c>
      <c r="G141" s="58">
        <v>0</v>
      </c>
      <c r="H141" s="58">
        <v>0</v>
      </c>
      <c r="I141" s="58">
        <v>282000</v>
      </c>
      <c r="J141" s="58">
        <v>266000</v>
      </c>
      <c r="K141" s="58">
        <v>0</v>
      </c>
      <c r="L141" s="1"/>
      <c r="M141" s="1"/>
      <c r="N141" s="1"/>
      <c r="O141" s="1"/>
      <c r="P141" s="1"/>
      <c r="R141" s="1"/>
      <c r="S141" s="1"/>
      <c r="T141" s="1"/>
      <c r="U141" s="1"/>
      <c r="V141" s="1"/>
      <c r="X141" s="1"/>
      <c r="Y141" s="1"/>
      <c r="Z141" s="1"/>
      <c r="AA141" s="1"/>
      <c r="AB141" s="1"/>
      <c r="AD141" s="1"/>
      <c r="AE141" s="1"/>
      <c r="AF141" s="1"/>
      <c r="AG141" s="1"/>
      <c r="AH141" s="1"/>
      <c r="AP141" s="1"/>
      <c r="AQ141" s="1"/>
      <c r="AR141" s="1"/>
      <c r="AS141" s="1"/>
      <c r="AT141" s="1"/>
    </row>
    <row r="142" spans="1:46" x14ac:dyDescent="0.25">
      <c r="A142" s="9">
        <f t="shared" si="2"/>
        <v>139</v>
      </c>
      <c r="B142" s="51" t="s">
        <v>638</v>
      </c>
      <c r="C142" s="50" t="s">
        <v>311</v>
      </c>
      <c r="D142" s="50"/>
      <c r="E142" s="50"/>
      <c r="F142" s="58">
        <v>1328000</v>
      </c>
      <c r="G142" s="58">
        <v>0</v>
      </c>
      <c r="H142" s="58">
        <v>321000</v>
      </c>
      <c r="I142" s="58">
        <v>302000</v>
      </c>
      <c r="J142" s="58">
        <v>0</v>
      </c>
      <c r="K142" s="58">
        <v>392000</v>
      </c>
      <c r="L142" s="1"/>
      <c r="M142" s="1"/>
      <c r="N142" s="1"/>
      <c r="O142" s="1"/>
      <c r="P142" s="1"/>
      <c r="R142" s="1"/>
      <c r="S142" s="1"/>
      <c r="T142" s="1"/>
      <c r="U142" s="1"/>
      <c r="V142" s="1"/>
      <c r="X142" s="1"/>
      <c r="Y142" s="1"/>
      <c r="Z142" s="1"/>
      <c r="AA142" s="1"/>
      <c r="AB142" s="1"/>
      <c r="AD142" s="1"/>
      <c r="AE142" s="1"/>
      <c r="AF142" s="1"/>
      <c r="AG142" s="1"/>
      <c r="AH142" s="1"/>
      <c r="AP142" s="1"/>
      <c r="AQ142" s="1"/>
      <c r="AR142" s="1"/>
      <c r="AS142" s="1"/>
      <c r="AT142" s="1"/>
    </row>
    <row r="143" spans="1:46" x14ac:dyDescent="0.25">
      <c r="A143" s="9">
        <f t="shared" si="2"/>
        <v>140</v>
      </c>
      <c r="B143" s="51" t="s">
        <v>638</v>
      </c>
      <c r="C143" s="50" t="s">
        <v>56</v>
      </c>
      <c r="D143" s="50"/>
      <c r="E143" s="50"/>
      <c r="F143" s="58">
        <v>1106000</v>
      </c>
      <c r="G143" s="58">
        <v>0</v>
      </c>
      <c r="H143" s="58">
        <v>282000</v>
      </c>
      <c r="I143" s="58">
        <v>262000</v>
      </c>
      <c r="J143" s="58">
        <v>0</v>
      </c>
      <c r="K143" s="58">
        <v>352000</v>
      </c>
      <c r="L143" s="1"/>
      <c r="M143" s="1"/>
      <c r="N143" s="1"/>
      <c r="O143" s="1"/>
      <c r="P143" s="1"/>
      <c r="R143" s="1"/>
      <c r="S143" s="1"/>
      <c r="T143" s="1"/>
      <c r="U143" s="1"/>
      <c r="V143" s="1"/>
      <c r="X143" s="1"/>
      <c r="Y143" s="1"/>
      <c r="Z143" s="1"/>
      <c r="AA143" s="1"/>
      <c r="AB143" s="1"/>
      <c r="AD143" s="1"/>
      <c r="AE143" s="1"/>
      <c r="AF143" s="1"/>
      <c r="AG143" s="1"/>
      <c r="AH143" s="1"/>
      <c r="AP143" s="1"/>
      <c r="AQ143" s="1"/>
      <c r="AR143" s="1"/>
      <c r="AS143" s="1"/>
      <c r="AT143" s="1"/>
    </row>
    <row r="144" spans="1:46" x14ac:dyDescent="0.25">
      <c r="A144" s="9">
        <f t="shared" si="2"/>
        <v>141</v>
      </c>
      <c r="B144" s="51" t="s">
        <v>638</v>
      </c>
      <c r="C144" s="50" t="s">
        <v>57</v>
      </c>
      <c r="D144" s="50"/>
      <c r="E144" s="50"/>
      <c r="F144" s="58">
        <v>1106000</v>
      </c>
      <c r="G144" s="58">
        <v>0</v>
      </c>
      <c r="H144" s="58">
        <v>282000</v>
      </c>
      <c r="I144" s="58">
        <v>262000</v>
      </c>
      <c r="J144" s="58">
        <v>0</v>
      </c>
      <c r="K144" s="58">
        <v>352000</v>
      </c>
      <c r="L144" s="1"/>
      <c r="M144" s="1"/>
      <c r="N144" s="1"/>
      <c r="O144" s="1"/>
      <c r="P144" s="1"/>
      <c r="R144" s="1"/>
      <c r="S144" s="1"/>
      <c r="T144" s="1"/>
      <c r="U144" s="1"/>
      <c r="V144" s="1"/>
      <c r="X144" s="1"/>
      <c r="Y144" s="1"/>
      <c r="Z144" s="1"/>
      <c r="AA144" s="1"/>
      <c r="AB144" s="1"/>
      <c r="AD144" s="1"/>
      <c r="AE144" s="1"/>
      <c r="AF144" s="1"/>
      <c r="AG144" s="1"/>
      <c r="AH144" s="1"/>
      <c r="AP144" s="1"/>
      <c r="AQ144" s="1"/>
      <c r="AR144" s="1"/>
      <c r="AS144" s="1"/>
      <c r="AT144" s="1"/>
    </row>
    <row r="145" spans="1:46" x14ac:dyDescent="0.25">
      <c r="A145" s="9">
        <f t="shared" si="2"/>
        <v>142</v>
      </c>
      <c r="B145" s="51" t="s">
        <v>638</v>
      </c>
      <c r="C145" s="50" t="s">
        <v>323</v>
      </c>
      <c r="D145" s="50"/>
      <c r="E145" s="50"/>
      <c r="F145" s="58">
        <v>1106000</v>
      </c>
      <c r="G145" s="58">
        <v>0</v>
      </c>
      <c r="H145" s="58">
        <v>282000</v>
      </c>
      <c r="I145" s="58">
        <v>262000</v>
      </c>
      <c r="J145" s="58">
        <v>0</v>
      </c>
      <c r="K145" s="58">
        <v>352000</v>
      </c>
      <c r="L145" s="1"/>
      <c r="M145" s="1"/>
      <c r="N145" s="1"/>
      <c r="O145" s="1"/>
      <c r="P145" s="1"/>
      <c r="R145" s="1"/>
      <c r="S145" s="1"/>
      <c r="T145" s="1"/>
      <c r="U145" s="1"/>
      <c r="V145" s="1"/>
      <c r="X145" s="1"/>
      <c r="Y145" s="1"/>
      <c r="Z145" s="1"/>
      <c r="AA145" s="1"/>
      <c r="AB145" s="1"/>
      <c r="AD145" s="1"/>
      <c r="AE145" s="1"/>
      <c r="AF145" s="1"/>
      <c r="AG145" s="1"/>
      <c r="AH145" s="1"/>
      <c r="AP145" s="1"/>
      <c r="AQ145" s="1"/>
      <c r="AR145" s="1"/>
      <c r="AS145" s="1"/>
      <c r="AT145" s="1"/>
    </row>
    <row r="146" spans="1:46" x14ac:dyDescent="0.25">
      <c r="A146" s="9">
        <f t="shared" si="2"/>
        <v>143</v>
      </c>
      <c r="B146" s="51" t="s">
        <v>638</v>
      </c>
      <c r="C146" s="50" t="s">
        <v>312</v>
      </c>
      <c r="D146" s="50"/>
      <c r="E146" s="50"/>
      <c r="F146" s="58">
        <v>1328000</v>
      </c>
      <c r="G146" s="58">
        <v>0</v>
      </c>
      <c r="H146" s="58">
        <v>321000</v>
      </c>
      <c r="I146" s="58">
        <v>302000</v>
      </c>
      <c r="J146" s="58">
        <v>0</v>
      </c>
      <c r="K146" s="58">
        <v>392000</v>
      </c>
      <c r="L146" s="1"/>
      <c r="M146" s="1"/>
      <c r="N146" s="1"/>
      <c r="O146" s="1"/>
      <c r="P146" s="1"/>
      <c r="R146" s="1"/>
      <c r="S146" s="1"/>
      <c r="T146" s="1"/>
      <c r="U146" s="1"/>
      <c r="V146" s="1"/>
      <c r="X146" s="1"/>
      <c r="Y146" s="1"/>
      <c r="Z146" s="1"/>
      <c r="AA146" s="1"/>
      <c r="AB146" s="1"/>
      <c r="AD146" s="1"/>
      <c r="AE146" s="1"/>
      <c r="AF146" s="1"/>
      <c r="AG146" s="1"/>
      <c r="AH146" s="1"/>
      <c r="AP146" s="1"/>
      <c r="AQ146" s="1"/>
      <c r="AR146" s="1"/>
      <c r="AS146" s="1"/>
      <c r="AT146" s="1"/>
    </row>
    <row r="147" spans="1:46" x14ac:dyDescent="0.25">
      <c r="A147" s="9">
        <f t="shared" si="2"/>
        <v>144</v>
      </c>
      <c r="B147" s="51" t="s">
        <v>16</v>
      </c>
      <c r="C147" s="50" t="s">
        <v>284</v>
      </c>
      <c r="D147" s="50"/>
      <c r="E147" s="50"/>
      <c r="F147" s="58">
        <v>0</v>
      </c>
      <c r="G147" s="58">
        <v>0</v>
      </c>
      <c r="H147" s="58">
        <v>1558000</v>
      </c>
      <c r="I147" s="58">
        <v>1457000</v>
      </c>
      <c r="J147" s="58">
        <v>0</v>
      </c>
      <c r="K147" s="58">
        <v>0</v>
      </c>
      <c r="L147" s="1"/>
      <c r="M147" s="1"/>
      <c r="N147" s="1"/>
      <c r="O147" s="1"/>
      <c r="P147" s="1"/>
      <c r="R147" s="1"/>
      <c r="S147" s="1"/>
      <c r="T147" s="1"/>
      <c r="U147" s="1"/>
      <c r="V147" s="1"/>
      <c r="X147" s="1"/>
      <c r="Y147" s="1"/>
      <c r="Z147" s="1"/>
      <c r="AA147" s="1"/>
      <c r="AB147" s="1"/>
      <c r="AD147" s="1"/>
      <c r="AE147" s="1"/>
      <c r="AF147" s="1"/>
      <c r="AG147" s="1"/>
      <c r="AH147" s="1"/>
      <c r="AP147" s="1"/>
      <c r="AQ147" s="1"/>
      <c r="AR147" s="1"/>
      <c r="AS147" s="1"/>
      <c r="AT147" s="1"/>
    </row>
    <row r="148" spans="1:46" x14ac:dyDescent="0.25">
      <c r="A148" s="9">
        <f t="shared" si="2"/>
        <v>145</v>
      </c>
      <c r="B148" s="51" t="s">
        <v>33</v>
      </c>
      <c r="C148" s="50" t="s">
        <v>284</v>
      </c>
      <c r="D148" s="50"/>
      <c r="E148" s="50"/>
      <c r="F148" s="58">
        <v>0</v>
      </c>
      <c r="G148" s="58">
        <v>0</v>
      </c>
      <c r="H148" s="58">
        <v>684000</v>
      </c>
      <c r="I148" s="58">
        <v>653000</v>
      </c>
      <c r="J148" s="58">
        <v>623000</v>
      </c>
      <c r="K148" s="58">
        <v>854000</v>
      </c>
      <c r="L148" s="1"/>
      <c r="M148" s="1"/>
      <c r="N148" s="1"/>
      <c r="O148" s="1"/>
      <c r="P148" s="1"/>
      <c r="R148" s="1"/>
      <c r="S148" s="1"/>
      <c r="T148" s="1"/>
      <c r="U148" s="1"/>
      <c r="V148" s="1"/>
      <c r="X148" s="1"/>
      <c r="Y148" s="1"/>
      <c r="Z148" s="1"/>
      <c r="AA148" s="1"/>
      <c r="AB148" s="1"/>
      <c r="AD148" s="1"/>
      <c r="AE148" s="1"/>
      <c r="AF148" s="1"/>
      <c r="AG148" s="1"/>
      <c r="AH148" s="1"/>
      <c r="AP148" s="1"/>
      <c r="AQ148" s="1"/>
      <c r="AR148" s="1"/>
      <c r="AS148" s="1"/>
      <c r="AT148" s="1"/>
    </row>
    <row r="149" spans="1:46" x14ac:dyDescent="0.25">
      <c r="A149" s="9">
        <f t="shared" si="2"/>
        <v>146</v>
      </c>
      <c r="B149" s="51" t="s">
        <v>33</v>
      </c>
      <c r="C149" s="50" t="s">
        <v>372</v>
      </c>
      <c r="D149" s="50"/>
      <c r="E149" s="50"/>
      <c r="F149" s="58">
        <v>0</v>
      </c>
      <c r="G149" s="58">
        <v>0</v>
      </c>
      <c r="H149" s="58">
        <v>633000</v>
      </c>
      <c r="I149" s="58">
        <v>603000</v>
      </c>
      <c r="J149" s="58">
        <v>594000</v>
      </c>
      <c r="K149" s="58">
        <v>0</v>
      </c>
      <c r="L149" s="1"/>
      <c r="M149" s="1"/>
      <c r="N149" s="1"/>
      <c r="O149" s="1"/>
      <c r="P149" s="1"/>
      <c r="R149" s="1"/>
      <c r="S149" s="1"/>
      <c r="T149" s="1"/>
      <c r="U149" s="1"/>
      <c r="V149" s="1"/>
      <c r="X149" s="1"/>
      <c r="Y149" s="1"/>
      <c r="Z149" s="1"/>
      <c r="AA149" s="1"/>
      <c r="AB149" s="1"/>
      <c r="AD149" s="1"/>
      <c r="AE149" s="1"/>
      <c r="AF149" s="1"/>
      <c r="AG149" s="1"/>
      <c r="AH149" s="1"/>
      <c r="AP149" s="1"/>
      <c r="AQ149" s="1"/>
      <c r="AR149" s="1"/>
      <c r="AS149" s="1"/>
      <c r="AT149" s="1"/>
    </row>
    <row r="150" spans="1:46" x14ac:dyDescent="0.25">
      <c r="A150" s="9">
        <f t="shared" si="2"/>
        <v>147</v>
      </c>
      <c r="B150" s="51" t="s">
        <v>33</v>
      </c>
      <c r="C150" s="50" t="s">
        <v>373</v>
      </c>
      <c r="D150" s="50"/>
      <c r="E150" s="50"/>
      <c r="F150" s="58">
        <v>0</v>
      </c>
      <c r="G150" s="58">
        <v>0</v>
      </c>
      <c r="H150" s="58">
        <v>633000</v>
      </c>
      <c r="I150" s="58">
        <v>603000</v>
      </c>
      <c r="J150" s="58">
        <v>594000</v>
      </c>
      <c r="K150" s="58">
        <v>0</v>
      </c>
      <c r="L150" s="1"/>
      <c r="M150" s="1"/>
      <c r="N150" s="1"/>
      <c r="O150" s="1"/>
      <c r="P150" s="1"/>
      <c r="R150" s="1"/>
      <c r="S150" s="1"/>
      <c r="T150" s="1"/>
      <c r="U150" s="1"/>
      <c r="V150" s="1"/>
      <c r="X150" s="1"/>
      <c r="Y150" s="1"/>
      <c r="Z150" s="1"/>
      <c r="AA150" s="1"/>
      <c r="AB150" s="1"/>
      <c r="AD150" s="1"/>
      <c r="AE150" s="1"/>
      <c r="AF150" s="1"/>
      <c r="AG150" s="1"/>
      <c r="AH150" s="1"/>
      <c r="AP150" s="1"/>
      <c r="AQ150" s="1"/>
      <c r="AR150" s="1"/>
      <c r="AS150" s="1"/>
      <c r="AT150" s="1"/>
    </row>
    <row r="151" spans="1:46" x14ac:dyDescent="0.25">
      <c r="A151" s="9">
        <f t="shared" si="2"/>
        <v>148</v>
      </c>
      <c r="B151" s="51" t="s">
        <v>33</v>
      </c>
      <c r="C151" s="50" t="s">
        <v>398</v>
      </c>
      <c r="D151" s="50"/>
      <c r="E151" s="50"/>
      <c r="F151" s="58">
        <v>0</v>
      </c>
      <c r="G151" s="58">
        <v>0</v>
      </c>
      <c r="H151" s="58">
        <v>603000</v>
      </c>
      <c r="I151" s="58">
        <v>573000</v>
      </c>
      <c r="J151" s="58">
        <v>533000</v>
      </c>
      <c r="K151" s="58">
        <v>845000</v>
      </c>
      <c r="L151" s="1"/>
      <c r="M151" s="1"/>
      <c r="N151" s="1"/>
      <c r="O151" s="1"/>
      <c r="P151" s="1"/>
      <c r="R151" s="1"/>
      <c r="S151" s="1"/>
      <c r="T151" s="1"/>
      <c r="U151" s="1"/>
      <c r="V151" s="1"/>
      <c r="X151" s="1"/>
      <c r="Y151" s="1"/>
      <c r="Z151" s="1"/>
      <c r="AA151" s="1"/>
      <c r="AB151" s="1"/>
      <c r="AD151" s="1"/>
      <c r="AE151" s="1"/>
      <c r="AF151" s="1"/>
      <c r="AG151" s="1"/>
      <c r="AH151" s="1"/>
      <c r="AP151" s="1"/>
      <c r="AQ151" s="1"/>
      <c r="AR151" s="1"/>
      <c r="AS151" s="1"/>
      <c r="AT151" s="1"/>
    </row>
    <row r="152" spans="1:46" x14ac:dyDescent="0.25">
      <c r="A152" s="9">
        <f t="shared" si="2"/>
        <v>149</v>
      </c>
      <c r="B152" s="51" t="s">
        <v>33</v>
      </c>
      <c r="C152" s="50" t="s">
        <v>399</v>
      </c>
      <c r="D152" s="50"/>
      <c r="E152" s="50"/>
      <c r="F152" s="58">
        <v>0</v>
      </c>
      <c r="G152" s="58">
        <v>0</v>
      </c>
      <c r="H152" s="58">
        <v>603000</v>
      </c>
      <c r="I152" s="58">
        <v>573000</v>
      </c>
      <c r="J152" s="58">
        <v>533000</v>
      </c>
      <c r="K152" s="58">
        <v>845000</v>
      </c>
      <c r="L152" s="1"/>
      <c r="M152" s="1"/>
      <c r="N152" s="1"/>
      <c r="O152" s="1"/>
      <c r="P152" s="1"/>
      <c r="R152" s="1"/>
      <c r="S152" s="1"/>
      <c r="T152" s="1"/>
      <c r="U152" s="1"/>
      <c r="V152" s="1"/>
      <c r="X152" s="1"/>
      <c r="Y152" s="1"/>
      <c r="Z152" s="1"/>
      <c r="AA152" s="1"/>
      <c r="AB152" s="1"/>
      <c r="AD152" s="1"/>
      <c r="AE152" s="1"/>
      <c r="AF152" s="1"/>
      <c r="AG152" s="1"/>
      <c r="AH152" s="1"/>
      <c r="AP152" s="1"/>
      <c r="AQ152" s="1"/>
      <c r="AR152" s="1"/>
      <c r="AS152" s="1"/>
      <c r="AT152" s="1"/>
    </row>
    <row r="153" spans="1:46" x14ac:dyDescent="0.25">
      <c r="A153" s="9">
        <f t="shared" si="2"/>
        <v>150</v>
      </c>
      <c r="B153" s="51" t="s">
        <v>94</v>
      </c>
      <c r="C153" s="50" t="s">
        <v>379</v>
      </c>
      <c r="D153" s="50"/>
      <c r="E153" s="50"/>
      <c r="F153" s="58">
        <v>0</v>
      </c>
      <c r="G153" s="58">
        <v>0</v>
      </c>
      <c r="H153" s="58">
        <v>452000</v>
      </c>
      <c r="I153" s="58">
        <v>422000</v>
      </c>
      <c r="J153" s="58">
        <v>402000</v>
      </c>
      <c r="K153" s="58">
        <v>603000</v>
      </c>
      <c r="L153" s="1"/>
      <c r="M153" s="1"/>
      <c r="N153" s="1"/>
      <c r="O153" s="1"/>
      <c r="P153" s="1"/>
      <c r="R153" s="1"/>
      <c r="S153" s="1"/>
      <c r="T153" s="1"/>
      <c r="U153" s="1"/>
      <c r="V153" s="1"/>
      <c r="X153" s="1"/>
      <c r="Y153" s="1"/>
      <c r="Z153" s="1"/>
      <c r="AA153" s="1"/>
      <c r="AB153" s="1"/>
      <c r="AD153" s="1"/>
      <c r="AE153" s="1"/>
      <c r="AF153" s="1"/>
      <c r="AG153" s="1"/>
      <c r="AH153" s="1"/>
      <c r="AP153" s="1"/>
      <c r="AQ153" s="1"/>
      <c r="AR153" s="1"/>
      <c r="AS153" s="1"/>
      <c r="AT153" s="1"/>
    </row>
    <row r="154" spans="1:46" x14ac:dyDescent="0.25">
      <c r="A154" s="9">
        <f t="shared" si="2"/>
        <v>151</v>
      </c>
      <c r="B154" s="51" t="s">
        <v>94</v>
      </c>
      <c r="C154" s="50" t="s">
        <v>336</v>
      </c>
      <c r="D154" s="50"/>
      <c r="E154" s="50"/>
      <c r="F154" s="58">
        <v>0</v>
      </c>
      <c r="G154" s="58">
        <v>0</v>
      </c>
      <c r="H154" s="58">
        <v>754000</v>
      </c>
      <c r="I154" s="58">
        <v>744000</v>
      </c>
      <c r="J154" s="58">
        <v>0</v>
      </c>
      <c r="K154" s="58">
        <v>0</v>
      </c>
      <c r="L154" s="1"/>
      <c r="M154" s="1"/>
      <c r="N154" s="1"/>
      <c r="O154" s="1"/>
      <c r="P154" s="1"/>
      <c r="R154" s="1"/>
      <c r="S154" s="1"/>
      <c r="T154" s="1"/>
      <c r="U154" s="1"/>
      <c r="V154" s="1"/>
      <c r="X154" s="1"/>
      <c r="Y154" s="1"/>
      <c r="Z154" s="1"/>
      <c r="AA154" s="1"/>
      <c r="AB154" s="1"/>
      <c r="AD154" s="1"/>
      <c r="AE154" s="1"/>
      <c r="AF154" s="1"/>
      <c r="AG154" s="1"/>
      <c r="AH154" s="1"/>
      <c r="AP154" s="1"/>
      <c r="AQ154" s="1"/>
      <c r="AR154" s="1"/>
      <c r="AS154" s="1"/>
      <c r="AT154" s="1"/>
    </row>
    <row r="155" spans="1:46" x14ac:dyDescent="0.25">
      <c r="A155" s="9">
        <f t="shared" si="2"/>
        <v>152</v>
      </c>
      <c r="B155" s="51" t="s">
        <v>94</v>
      </c>
      <c r="C155" s="50"/>
      <c r="D155" s="50"/>
      <c r="E155" s="50"/>
      <c r="F155" s="58">
        <v>0</v>
      </c>
      <c r="G155" s="58">
        <v>0</v>
      </c>
      <c r="H155" s="58">
        <v>452000</v>
      </c>
      <c r="I155" s="58">
        <v>422000</v>
      </c>
      <c r="J155" s="58">
        <v>402000</v>
      </c>
      <c r="K155" s="58">
        <v>603000</v>
      </c>
      <c r="L155" s="1"/>
      <c r="M155" s="1"/>
      <c r="N155" s="1"/>
      <c r="O155" s="1"/>
      <c r="P155" s="1"/>
      <c r="R155" s="1"/>
      <c r="S155" s="1"/>
      <c r="T155" s="1"/>
      <c r="U155" s="1"/>
      <c r="V155" s="1"/>
      <c r="X155" s="1"/>
      <c r="Y155" s="1"/>
      <c r="Z155" s="1"/>
      <c r="AA155" s="1"/>
      <c r="AB155" s="1"/>
      <c r="AD155" s="1"/>
      <c r="AE155" s="1"/>
      <c r="AF155" s="1"/>
      <c r="AG155" s="1"/>
      <c r="AH155" s="1"/>
      <c r="AP155" s="1"/>
      <c r="AQ155" s="1"/>
      <c r="AR155" s="1"/>
      <c r="AS155" s="1"/>
      <c r="AT155" s="1"/>
    </row>
    <row r="156" spans="1:46" x14ac:dyDescent="0.25">
      <c r="A156" s="9">
        <f t="shared" si="2"/>
        <v>153</v>
      </c>
      <c r="B156" s="51" t="s">
        <v>94</v>
      </c>
      <c r="C156" s="50" t="s">
        <v>380</v>
      </c>
      <c r="D156" s="50"/>
      <c r="E156" s="50"/>
      <c r="F156" s="58">
        <v>0</v>
      </c>
      <c r="G156" s="58">
        <v>0</v>
      </c>
      <c r="H156" s="58">
        <v>573000</v>
      </c>
      <c r="I156" s="58">
        <v>522000</v>
      </c>
      <c r="J156" s="58">
        <v>513000</v>
      </c>
      <c r="K156" s="58">
        <v>744000</v>
      </c>
      <c r="L156" s="1"/>
      <c r="M156" s="1"/>
      <c r="N156" s="1"/>
      <c r="O156" s="1"/>
      <c r="P156" s="1"/>
      <c r="R156" s="1"/>
      <c r="S156" s="1"/>
      <c r="T156" s="1"/>
      <c r="U156" s="1"/>
      <c r="V156" s="1"/>
      <c r="X156" s="1"/>
      <c r="Y156" s="1"/>
      <c r="Z156" s="1"/>
      <c r="AA156" s="1"/>
      <c r="AB156" s="1"/>
      <c r="AD156" s="1"/>
      <c r="AE156" s="1"/>
      <c r="AF156" s="1"/>
      <c r="AG156" s="1"/>
      <c r="AH156" s="1"/>
      <c r="AP156" s="1"/>
      <c r="AQ156" s="1"/>
      <c r="AR156" s="1"/>
      <c r="AS156" s="1"/>
      <c r="AT156" s="1"/>
    </row>
    <row r="157" spans="1:46" x14ac:dyDescent="0.25">
      <c r="A157" s="9">
        <f t="shared" si="2"/>
        <v>154</v>
      </c>
      <c r="B157" s="51" t="s">
        <v>94</v>
      </c>
      <c r="C157" s="50" t="s">
        <v>337</v>
      </c>
      <c r="D157" s="50"/>
      <c r="E157" s="50"/>
      <c r="F157" s="58">
        <v>0</v>
      </c>
      <c r="G157" s="58">
        <v>0</v>
      </c>
      <c r="H157" s="58">
        <v>784000</v>
      </c>
      <c r="I157" s="58">
        <v>764000</v>
      </c>
      <c r="J157" s="58">
        <v>0</v>
      </c>
      <c r="K157" s="58">
        <v>0</v>
      </c>
      <c r="L157" s="1"/>
      <c r="M157" s="1"/>
      <c r="N157" s="1"/>
      <c r="O157" s="1"/>
      <c r="P157" s="1"/>
      <c r="R157" s="1"/>
      <c r="S157" s="1"/>
      <c r="T157" s="1"/>
      <c r="U157" s="1"/>
      <c r="V157" s="1"/>
      <c r="X157" s="1"/>
      <c r="Y157" s="1"/>
      <c r="Z157" s="1"/>
      <c r="AA157" s="1"/>
      <c r="AB157" s="1"/>
      <c r="AD157" s="1"/>
      <c r="AE157" s="1"/>
      <c r="AF157" s="1"/>
      <c r="AG157" s="1"/>
      <c r="AH157" s="1"/>
      <c r="AP157" s="1"/>
      <c r="AQ157" s="1"/>
      <c r="AR157" s="1"/>
      <c r="AS157" s="1"/>
      <c r="AT157" s="1"/>
    </row>
    <row r="158" spans="1:46" x14ac:dyDescent="0.25">
      <c r="A158" s="9">
        <f t="shared" si="2"/>
        <v>155</v>
      </c>
      <c r="B158" s="51" t="s">
        <v>94</v>
      </c>
      <c r="C158" s="50" t="s">
        <v>97</v>
      </c>
      <c r="D158" s="50"/>
      <c r="E158" s="50"/>
      <c r="F158" s="58">
        <v>0</v>
      </c>
      <c r="G158" s="58">
        <v>0</v>
      </c>
      <c r="H158" s="58">
        <v>543000</v>
      </c>
      <c r="I158" s="58">
        <v>503000</v>
      </c>
      <c r="J158" s="58">
        <v>483000</v>
      </c>
      <c r="K158" s="58">
        <v>704000</v>
      </c>
      <c r="L158" s="1"/>
      <c r="M158" s="1"/>
      <c r="N158" s="1"/>
      <c r="O158" s="1"/>
      <c r="P158" s="1"/>
      <c r="R158" s="1"/>
      <c r="S158" s="1"/>
      <c r="T158" s="1"/>
      <c r="U158" s="1"/>
      <c r="V158" s="1"/>
      <c r="X158" s="1"/>
      <c r="Y158" s="1"/>
      <c r="Z158" s="1"/>
      <c r="AA158" s="1"/>
      <c r="AB158" s="1"/>
      <c r="AD158" s="1"/>
      <c r="AE158" s="1"/>
      <c r="AF158" s="1"/>
      <c r="AG158" s="1"/>
      <c r="AH158" s="1"/>
      <c r="AP158" s="1"/>
      <c r="AQ158" s="1"/>
      <c r="AR158" s="1"/>
      <c r="AS158" s="1"/>
      <c r="AT158" s="1"/>
    </row>
    <row r="159" spans="1:46" x14ac:dyDescent="0.25">
      <c r="A159" s="9">
        <f t="shared" si="2"/>
        <v>156</v>
      </c>
      <c r="B159" s="51" t="s">
        <v>94</v>
      </c>
      <c r="C159" s="50" t="s">
        <v>328</v>
      </c>
      <c r="D159" s="50"/>
      <c r="E159" s="50"/>
      <c r="F159" s="58">
        <v>0</v>
      </c>
      <c r="G159" s="58">
        <v>0</v>
      </c>
      <c r="H159" s="58">
        <v>443000</v>
      </c>
      <c r="I159" s="58">
        <v>402000</v>
      </c>
      <c r="J159" s="58">
        <v>0</v>
      </c>
      <c r="K159" s="58">
        <v>553000</v>
      </c>
      <c r="L159" s="1"/>
      <c r="M159" s="1"/>
      <c r="N159" s="1"/>
      <c r="O159" s="1"/>
      <c r="P159" s="1"/>
      <c r="R159" s="1"/>
      <c r="S159" s="1"/>
      <c r="T159" s="1"/>
      <c r="U159" s="1"/>
      <c r="V159" s="1"/>
      <c r="X159" s="1"/>
      <c r="Y159" s="1"/>
      <c r="Z159" s="1"/>
      <c r="AA159" s="1"/>
      <c r="AB159" s="1"/>
      <c r="AD159" s="1"/>
      <c r="AE159" s="1"/>
      <c r="AF159" s="1"/>
      <c r="AG159" s="1"/>
      <c r="AH159" s="1"/>
      <c r="AP159" s="1"/>
      <c r="AQ159" s="1"/>
      <c r="AR159" s="1"/>
      <c r="AS159" s="1"/>
      <c r="AT159" s="1"/>
    </row>
    <row r="160" spans="1:46" x14ac:dyDescent="0.25">
      <c r="A160" s="9">
        <f t="shared" si="2"/>
        <v>157</v>
      </c>
      <c r="B160" s="51" t="s">
        <v>94</v>
      </c>
      <c r="C160" s="50" t="s">
        <v>383</v>
      </c>
      <c r="D160" s="50"/>
      <c r="E160" s="50"/>
      <c r="F160" s="58">
        <v>0</v>
      </c>
      <c r="G160" s="58">
        <v>0</v>
      </c>
      <c r="H160" s="58">
        <v>543000</v>
      </c>
      <c r="I160" s="58">
        <v>503000</v>
      </c>
      <c r="J160" s="58">
        <v>483000</v>
      </c>
      <c r="K160" s="58">
        <v>704000</v>
      </c>
      <c r="L160" s="1"/>
      <c r="M160" s="1"/>
      <c r="N160" s="1"/>
      <c r="O160" s="1"/>
      <c r="P160" s="1"/>
      <c r="R160" s="1"/>
      <c r="S160" s="1"/>
      <c r="T160" s="1"/>
      <c r="U160" s="1"/>
      <c r="V160" s="1"/>
      <c r="X160" s="1"/>
      <c r="Y160" s="1"/>
      <c r="Z160" s="1"/>
      <c r="AA160" s="1"/>
      <c r="AB160" s="1"/>
      <c r="AD160" s="1"/>
      <c r="AE160" s="1"/>
      <c r="AF160" s="1"/>
      <c r="AG160" s="1"/>
      <c r="AH160" s="1"/>
      <c r="AP160" s="1"/>
      <c r="AQ160" s="1"/>
      <c r="AR160" s="1"/>
      <c r="AS160" s="1"/>
      <c r="AT160" s="1"/>
    </row>
    <row r="161" spans="1:46" x14ac:dyDescent="0.25">
      <c r="A161" s="9">
        <f t="shared" si="2"/>
        <v>158</v>
      </c>
      <c r="B161" s="51" t="s">
        <v>94</v>
      </c>
      <c r="C161" s="50" t="s">
        <v>59</v>
      </c>
      <c r="D161" s="50"/>
      <c r="E161" s="50"/>
      <c r="F161" s="58">
        <v>0</v>
      </c>
      <c r="G161" s="58">
        <v>0</v>
      </c>
      <c r="H161" s="58">
        <v>402000</v>
      </c>
      <c r="I161" s="58">
        <v>392000</v>
      </c>
      <c r="J161" s="58">
        <v>0</v>
      </c>
      <c r="K161" s="58">
        <v>522000</v>
      </c>
      <c r="L161" s="1"/>
      <c r="M161" s="1"/>
      <c r="N161" s="1"/>
      <c r="O161" s="1"/>
      <c r="P161" s="1"/>
      <c r="R161" s="1"/>
      <c r="S161" s="1"/>
      <c r="T161" s="1"/>
      <c r="U161" s="1"/>
      <c r="V161" s="1"/>
      <c r="X161" s="1"/>
      <c r="Y161" s="1"/>
      <c r="Z161" s="1"/>
      <c r="AA161" s="1"/>
      <c r="AB161" s="1"/>
      <c r="AD161" s="1"/>
      <c r="AE161" s="1"/>
      <c r="AF161" s="1"/>
      <c r="AG161" s="1"/>
      <c r="AH161" s="1"/>
      <c r="AP161" s="1"/>
      <c r="AQ161" s="1"/>
      <c r="AR161" s="1"/>
      <c r="AS161" s="1"/>
      <c r="AT161" s="1"/>
    </row>
    <row r="162" spans="1:46" x14ac:dyDescent="0.25">
      <c r="A162" s="9">
        <f t="shared" si="2"/>
        <v>159</v>
      </c>
      <c r="B162" s="51" t="s">
        <v>94</v>
      </c>
      <c r="C162" s="50" t="s">
        <v>462</v>
      </c>
      <c r="D162" s="50"/>
      <c r="E162" s="50"/>
      <c r="F162" s="58">
        <v>0</v>
      </c>
      <c r="G162" s="58">
        <v>0</v>
      </c>
      <c r="H162" s="58">
        <v>573000</v>
      </c>
      <c r="I162" s="58">
        <v>522000</v>
      </c>
      <c r="J162" s="58">
        <v>513000</v>
      </c>
      <c r="K162" s="58">
        <v>744000</v>
      </c>
      <c r="L162" s="1"/>
      <c r="M162" s="1"/>
      <c r="N162" s="1"/>
      <c r="O162" s="1"/>
      <c r="P162" s="1"/>
      <c r="R162" s="1"/>
      <c r="S162" s="1"/>
      <c r="T162" s="1"/>
      <c r="U162" s="1"/>
      <c r="V162" s="1"/>
      <c r="X162" s="1"/>
      <c r="Y162" s="1"/>
      <c r="Z162" s="1"/>
      <c r="AA162" s="1"/>
      <c r="AB162" s="1"/>
      <c r="AD162" s="1"/>
      <c r="AE162" s="1"/>
      <c r="AF162" s="1"/>
      <c r="AG162" s="1"/>
      <c r="AH162" s="1"/>
      <c r="AP162" s="1"/>
      <c r="AQ162" s="1"/>
      <c r="AR162" s="1"/>
      <c r="AS162" s="1"/>
      <c r="AT162" s="1"/>
    </row>
    <row r="163" spans="1:46" x14ac:dyDescent="0.25">
      <c r="A163" s="9">
        <f t="shared" si="2"/>
        <v>160</v>
      </c>
      <c r="B163" s="51" t="s">
        <v>94</v>
      </c>
      <c r="C163" s="50" t="s">
        <v>329</v>
      </c>
      <c r="D163" s="50"/>
      <c r="E163" s="50"/>
      <c r="F163" s="58">
        <v>0</v>
      </c>
      <c r="G163" s="58">
        <v>0</v>
      </c>
      <c r="H163" s="58">
        <v>443000</v>
      </c>
      <c r="I163" s="58">
        <v>402000</v>
      </c>
      <c r="J163" s="58">
        <v>0</v>
      </c>
      <c r="K163" s="58">
        <v>553000</v>
      </c>
      <c r="L163" s="1"/>
      <c r="M163" s="1"/>
      <c r="N163" s="1"/>
      <c r="O163" s="1"/>
      <c r="P163" s="1"/>
      <c r="R163" s="1"/>
      <c r="S163" s="1"/>
      <c r="T163" s="1"/>
      <c r="U163" s="1"/>
      <c r="V163" s="1"/>
      <c r="X163" s="1"/>
      <c r="Y163" s="1"/>
      <c r="Z163" s="1"/>
      <c r="AA163" s="1"/>
      <c r="AB163" s="1"/>
      <c r="AD163" s="1"/>
      <c r="AE163" s="1"/>
      <c r="AF163" s="1"/>
      <c r="AG163" s="1"/>
      <c r="AH163" s="1"/>
      <c r="AP163" s="1"/>
      <c r="AQ163" s="1"/>
      <c r="AR163" s="1"/>
      <c r="AS163" s="1"/>
      <c r="AT163" s="1"/>
    </row>
    <row r="164" spans="1:46" x14ac:dyDescent="0.25">
      <c r="A164" s="9">
        <f t="shared" si="2"/>
        <v>161</v>
      </c>
      <c r="B164" s="51" t="s">
        <v>94</v>
      </c>
      <c r="C164" s="50" t="s">
        <v>332</v>
      </c>
      <c r="D164" s="50"/>
      <c r="E164" s="50"/>
      <c r="F164" s="58">
        <v>0</v>
      </c>
      <c r="G164" s="58">
        <v>0</v>
      </c>
      <c r="H164" s="58">
        <v>522000</v>
      </c>
      <c r="I164" s="58">
        <v>483000</v>
      </c>
      <c r="J164" s="58">
        <v>0</v>
      </c>
      <c r="K164" s="58">
        <v>684000</v>
      </c>
      <c r="L164" s="1"/>
      <c r="M164" s="1"/>
      <c r="N164" s="1"/>
      <c r="O164" s="1"/>
      <c r="P164" s="1"/>
      <c r="R164" s="1"/>
      <c r="S164" s="1"/>
      <c r="T164" s="1"/>
      <c r="U164" s="1"/>
      <c r="V164" s="1"/>
      <c r="X164" s="1"/>
      <c r="Y164" s="1"/>
      <c r="Z164" s="1"/>
      <c r="AA164" s="1"/>
      <c r="AB164" s="1"/>
      <c r="AD164" s="1"/>
      <c r="AE164" s="1"/>
      <c r="AF164" s="1"/>
      <c r="AG164" s="1"/>
      <c r="AH164" s="1"/>
      <c r="AP164" s="1"/>
      <c r="AQ164" s="1"/>
      <c r="AR164" s="1"/>
      <c r="AS164" s="1"/>
      <c r="AT164" s="1"/>
    </row>
    <row r="165" spans="1:46" ht="31.5" x14ac:dyDescent="0.25">
      <c r="A165" s="9">
        <f t="shared" si="2"/>
        <v>162</v>
      </c>
      <c r="B165" s="51" t="s">
        <v>94</v>
      </c>
      <c r="C165" s="50" t="s">
        <v>384</v>
      </c>
      <c r="D165" s="50"/>
      <c r="E165" s="50" t="s">
        <v>707</v>
      </c>
      <c r="F165" s="58">
        <v>0</v>
      </c>
      <c r="G165" s="58">
        <v>0</v>
      </c>
      <c r="H165" s="58">
        <v>543000</v>
      </c>
      <c r="I165" s="58">
        <v>503000</v>
      </c>
      <c r="J165" s="58">
        <v>483000</v>
      </c>
      <c r="K165" s="58">
        <v>704000</v>
      </c>
      <c r="L165" s="1"/>
      <c r="M165" s="1"/>
      <c r="N165" s="1"/>
      <c r="O165" s="1"/>
      <c r="P165" s="1"/>
      <c r="R165" s="1"/>
      <c r="S165" s="1"/>
      <c r="T165" s="1"/>
      <c r="U165" s="1"/>
      <c r="V165" s="1"/>
      <c r="X165" s="1"/>
      <c r="Y165" s="1"/>
      <c r="Z165" s="1"/>
      <c r="AA165" s="1"/>
      <c r="AB165" s="1"/>
      <c r="AD165" s="1"/>
      <c r="AE165" s="1"/>
      <c r="AF165" s="1"/>
      <c r="AG165" s="1"/>
      <c r="AH165" s="1"/>
      <c r="AP165" s="1"/>
      <c r="AQ165" s="1"/>
      <c r="AR165" s="1"/>
      <c r="AS165" s="1"/>
      <c r="AT165" s="1"/>
    </row>
    <row r="166" spans="1:46" x14ac:dyDescent="0.25">
      <c r="A166" s="9">
        <f t="shared" si="2"/>
        <v>163</v>
      </c>
      <c r="B166" s="51" t="s">
        <v>94</v>
      </c>
      <c r="C166" s="50" t="s">
        <v>330</v>
      </c>
      <c r="D166" s="50"/>
      <c r="E166" s="50"/>
      <c r="F166" s="58">
        <v>0</v>
      </c>
      <c r="G166" s="58">
        <v>0</v>
      </c>
      <c r="H166" s="58">
        <v>443000</v>
      </c>
      <c r="I166" s="58">
        <v>402000</v>
      </c>
      <c r="J166" s="58">
        <v>0</v>
      </c>
      <c r="K166" s="58">
        <v>553000</v>
      </c>
      <c r="L166" s="1"/>
      <c r="M166" s="1"/>
      <c r="N166" s="1"/>
      <c r="O166" s="1"/>
      <c r="P166" s="1"/>
      <c r="R166" s="1"/>
      <c r="S166" s="1"/>
      <c r="T166" s="1"/>
      <c r="U166" s="1"/>
      <c r="V166" s="1"/>
      <c r="X166" s="1"/>
      <c r="Y166" s="1"/>
      <c r="Z166" s="1"/>
      <c r="AA166" s="1"/>
      <c r="AB166" s="1"/>
      <c r="AD166" s="1"/>
      <c r="AE166" s="1"/>
      <c r="AF166" s="1"/>
      <c r="AG166" s="1"/>
      <c r="AH166" s="1"/>
      <c r="AP166" s="1"/>
      <c r="AQ166" s="1"/>
      <c r="AR166" s="1"/>
      <c r="AS166" s="1"/>
      <c r="AT166" s="1"/>
    </row>
    <row r="167" spans="1:46" x14ac:dyDescent="0.25">
      <c r="A167" s="9">
        <f t="shared" si="2"/>
        <v>164</v>
      </c>
      <c r="B167" s="51" t="s">
        <v>94</v>
      </c>
      <c r="C167" s="50" t="s">
        <v>331</v>
      </c>
      <c r="D167" s="50"/>
      <c r="E167" s="50"/>
      <c r="F167" s="58">
        <v>0</v>
      </c>
      <c r="G167" s="58">
        <v>0</v>
      </c>
      <c r="H167" s="58">
        <v>443000</v>
      </c>
      <c r="I167" s="58">
        <v>402000</v>
      </c>
      <c r="J167" s="58">
        <v>0</v>
      </c>
      <c r="K167" s="58">
        <v>553000</v>
      </c>
      <c r="L167" s="1"/>
      <c r="M167" s="1"/>
      <c r="N167" s="1"/>
      <c r="O167" s="1"/>
      <c r="P167" s="1"/>
      <c r="R167" s="1"/>
      <c r="S167" s="1"/>
      <c r="T167" s="1"/>
      <c r="U167" s="1"/>
      <c r="V167" s="1"/>
      <c r="X167" s="1"/>
      <c r="Y167" s="1"/>
      <c r="Z167" s="1"/>
      <c r="AA167" s="1"/>
      <c r="AB167" s="1"/>
      <c r="AD167" s="1"/>
      <c r="AE167" s="1"/>
      <c r="AF167" s="1"/>
      <c r="AG167" s="1"/>
      <c r="AH167" s="1"/>
      <c r="AP167" s="1"/>
      <c r="AQ167" s="1"/>
      <c r="AR167" s="1"/>
      <c r="AS167" s="1"/>
      <c r="AT167" s="1"/>
    </row>
    <row r="168" spans="1:46" x14ac:dyDescent="0.25">
      <c r="A168" s="9">
        <f t="shared" si="2"/>
        <v>165</v>
      </c>
      <c r="B168" s="51" t="s">
        <v>94</v>
      </c>
      <c r="C168" s="50" t="s">
        <v>463</v>
      </c>
      <c r="D168" s="50"/>
      <c r="E168" s="50"/>
      <c r="F168" s="58">
        <v>0</v>
      </c>
      <c r="G168" s="58">
        <v>0</v>
      </c>
      <c r="H168" s="58">
        <v>573000</v>
      </c>
      <c r="I168" s="58">
        <v>522000</v>
      </c>
      <c r="J168" s="58">
        <v>513000</v>
      </c>
      <c r="K168" s="58">
        <v>744000</v>
      </c>
      <c r="L168" s="1"/>
      <c r="M168" s="1"/>
      <c r="N168" s="1"/>
      <c r="O168" s="1"/>
      <c r="P168" s="1"/>
      <c r="R168" s="1"/>
      <c r="S168" s="1"/>
      <c r="T168" s="1"/>
      <c r="U168" s="1"/>
      <c r="V168" s="1"/>
      <c r="X168" s="1"/>
      <c r="Y168" s="1"/>
      <c r="Z168" s="1"/>
      <c r="AA168" s="1"/>
      <c r="AB168" s="1"/>
      <c r="AD168" s="1"/>
      <c r="AE168" s="1"/>
      <c r="AF168" s="1"/>
      <c r="AG168" s="1"/>
      <c r="AH168" s="1"/>
      <c r="AP168" s="1"/>
      <c r="AQ168" s="1"/>
      <c r="AR168" s="1"/>
      <c r="AS168" s="1"/>
      <c r="AT168" s="1"/>
    </row>
    <row r="169" spans="1:46" x14ac:dyDescent="0.25">
      <c r="A169" s="9">
        <f t="shared" si="2"/>
        <v>166</v>
      </c>
      <c r="B169" s="51" t="s">
        <v>13</v>
      </c>
      <c r="C169" s="50" t="s">
        <v>284</v>
      </c>
      <c r="D169" s="50"/>
      <c r="E169" s="50"/>
      <c r="F169" s="58">
        <v>0</v>
      </c>
      <c r="G169" s="58">
        <v>0</v>
      </c>
      <c r="H169" s="58">
        <v>1256000</v>
      </c>
      <c r="I169" s="58">
        <v>1247000</v>
      </c>
      <c r="J169" s="58">
        <v>0</v>
      </c>
      <c r="K169" s="58">
        <v>0</v>
      </c>
      <c r="L169" s="1"/>
      <c r="M169" s="1"/>
      <c r="N169" s="1"/>
      <c r="O169" s="1"/>
      <c r="P169" s="1"/>
      <c r="R169" s="1"/>
      <c r="S169" s="1"/>
      <c r="T169" s="1"/>
      <c r="U169" s="1"/>
      <c r="V169" s="1"/>
      <c r="X169" s="1"/>
      <c r="Y169" s="1"/>
      <c r="Z169" s="1"/>
      <c r="AA169" s="1"/>
      <c r="AB169" s="1"/>
      <c r="AD169" s="1"/>
      <c r="AE169" s="1"/>
      <c r="AF169" s="1"/>
      <c r="AG169" s="1"/>
      <c r="AH169" s="1"/>
      <c r="AP169" s="1"/>
      <c r="AQ169" s="1"/>
      <c r="AR169" s="1"/>
      <c r="AS169" s="1"/>
      <c r="AT169" s="1"/>
    </row>
    <row r="170" spans="1:46" x14ac:dyDescent="0.25">
      <c r="A170" s="9">
        <f t="shared" si="2"/>
        <v>167</v>
      </c>
      <c r="B170" s="51" t="s">
        <v>13</v>
      </c>
      <c r="C170" s="50" t="s">
        <v>377</v>
      </c>
      <c r="D170" s="50"/>
      <c r="E170" s="50"/>
      <c r="F170" s="58">
        <v>0</v>
      </c>
      <c r="G170" s="58">
        <v>0</v>
      </c>
      <c r="H170" s="58">
        <v>1106000</v>
      </c>
      <c r="I170" s="58">
        <v>1096000</v>
      </c>
      <c r="J170" s="58">
        <v>1086000</v>
      </c>
      <c r="K170" s="58">
        <v>0</v>
      </c>
      <c r="L170" s="1"/>
      <c r="M170" s="1"/>
      <c r="N170" s="1"/>
      <c r="O170" s="1"/>
      <c r="P170" s="1"/>
      <c r="R170" s="1"/>
      <c r="S170" s="1"/>
      <c r="T170" s="1"/>
      <c r="U170" s="1"/>
      <c r="V170" s="1"/>
      <c r="X170" s="1"/>
      <c r="Y170" s="1"/>
      <c r="Z170" s="1"/>
      <c r="AA170" s="1"/>
      <c r="AB170" s="1"/>
      <c r="AD170" s="1"/>
      <c r="AE170" s="1"/>
      <c r="AF170" s="1"/>
      <c r="AG170" s="1"/>
      <c r="AH170" s="1"/>
      <c r="AP170" s="1"/>
      <c r="AQ170" s="1"/>
      <c r="AR170" s="1"/>
      <c r="AS170" s="1"/>
      <c r="AT170" s="1"/>
    </row>
    <row r="171" spans="1:46" x14ac:dyDescent="0.25">
      <c r="A171" s="9">
        <f t="shared" si="2"/>
        <v>168</v>
      </c>
      <c r="B171" s="51" t="s">
        <v>13</v>
      </c>
      <c r="C171" s="50" t="s">
        <v>378</v>
      </c>
      <c r="D171" s="50"/>
      <c r="E171" s="50"/>
      <c r="F171" s="58">
        <v>0</v>
      </c>
      <c r="G171" s="58">
        <v>0</v>
      </c>
      <c r="H171" s="58">
        <v>1106000</v>
      </c>
      <c r="I171" s="58">
        <v>1096000</v>
      </c>
      <c r="J171" s="58">
        <v>1086000</v>
      </c>
      <c r="K171" s="58">
        <v>0</v>
      </c>
      <c r="L171" s="1"/>
      <c r="M171" s="1"/>
      <c r="N171" s="1"/>
      <c r="O171" s="1"/>
      <c r="P171" s="1"/>
      <c r="R171" s="1"/>
      <c r="S171" s="1"/>
      <c r="T171" s="1"/>
      <c r="U171" s="1"/>
      <c r="V171" s="1"/>
      <c r="X171" s="1"/>
      <c r="Y171" s="1"/>
      <c r="Z171" s="1"/>
      <c r="AA171" s="1"/>
      <c r="AB171" s="1"/>
      <c r="AD171" s="1"/>
      <c r="AE171" s="1"/>
      <c r="AF171" s="1"/>
      <c r="AG171" s="1"/>
      <c r="AH171" s="1"/>
      <c r="AP171" s="1"/>
      <c r="AQ171" s="1"/>
      <c r="AR171" s="1"/>
      <c r="AS171" s="1"/>
      <c r="AT171" s="1"/>
    </row>
    <row r="172" spans="1:46" x14ac:dyDescent="0.25">
      <c r="A172" s="9">
        <f t="shared" si="2"/>
        <v>169</v>
      </c>
      <c r="B172" s="51" t="s">
        <v>13</v>
      </c>
      <c r="C172" s="50" t="s">
        <v>11</v>
      </c>
      <c r="D172" s="50"/>
      <c r="E172" s="50"/>
      <c r="F172" s="58">
        <v>0</v>
      </c>
      <c r="G172" s="58">
        <v>0</v>
      </c>
      <c r="H172" s="58">
        <v>1106000</v>
      </c>
      <c r="I172" s="58">
        <v>1096000</v>
      </c>
      <c r="J172" s="58">
        <v>1086000</v>
      </c>
      <c r="K172" s="58">
        <v>0</v>
      </c>
      <c r="L172" s="1"/>
      <c r="M172" s="1"/>
      <c r="N172" s="1"/>
      <c r="O172" s="1"/>
      <c r="P172" s="1"/>
      <c r="R172" s="1"/>
      <c r="S172" s="1"/>
      <c r="T172" s="1"/>
      <c r="U172" s="1"/>
      <c r="V172" s="1"/>
      <c r="X172" s="1"/>
      <c r="Y172" s="1"/>
      <c r="Z172" s="1"/>
      <c r="AA172" s="1"/>
      <c r="AB172" s="1"/>
      <c r="AD172" s="1"/>
      <c r="AE172" s="1"/>
      <c r="AF172" s="1"/>
      <c r="AG172" s="1"/>
      <c r="AH172" s="1"/>
      <c r="AP172" s="1"/>
      <c r="AQ172" s="1"/>
      <c r="AR172" s="1"/>
      <c r="AS172" s="1"/>
      <c r="AT172" s="1"/>
    </row>
    <row r="173" spans="1:46" x14ac:dyDescent="0.25">
      <c r="A173" s="9">
        <f t="shared" si="2"/>
        <v>170</v>
      </c>
      <c r="B173" s="51" t="s">
        <v>17</v>
      </c>
      <c r="C173" s="50" t="s">
        <v>284</v>
      </c>
      <c r="D173" s="50"/>
      <c r="E173" s="50"/>
      <c r="F173" s="58">
        <v>0</v>
      </c>
      <c r="G173" s="58">
        <v>0</v>
      </c>
      <c r="H173" s="58">
        <v>1608000</v>
      </c>
      <c r="I173" s="58">
        <v>1558000</v>
      </c>
      <c r="J173" s="58">
        <v>0</v>
      </c>
      <c r="K173" s="58">
        <v>0</v>
      </c>
      <c r="L173" s="1"/>
      <c r="M173" s="1"/>
      <c r="N173" s="1"/>
      <c r="O173" s="1"/>
      <c r="P173" s="1"/>
      <c r="R173" s="1"/>
      <c r="S173" s="1"/>
      <c r="T173" s="1"/>
      <c r="U173" s="1"/>
      <c r="V173" s="1"/>
      <c r="X173" s="1"/>
      <c r="Y173" s="1"/>
      <c r="Z173" s="1"/>
      <c r="AA173" s="1"/>
      <c r="AB173" s="1"/>
      <c r="AD173" s="1"/>
      <c r="AE173" s="1"/>
      <c r="AF173" s="1"/>
      <c r="AG173" s="1"/>
      <c r="AH173" s="1"/>
      <c r="AP173" s="1"/>
      <c r="AQ173" s="1"/>
      <c r="AR173" s="1"/>
      <c r="AS173" s="1"/>
      <c r="AT173" s="1"/>
    </row>
    <row r="174" spans="1:46" x14ac:dyDescent="0.25">
      <c r="A174" s="9">
        <f t="shared" si="2"/>
        <v>171</v>
      </c>
      <c r="B174" s="51" t="s">
        <v>9</v>
      </c>
      <c r="C174" s="50" t="s">
        <v>284</v>
      </c>
      <c r="D174" s="50"/>
      <c r="E174" s="50"/>
      <c r="F174" s="58">
        <v>0</v>
      </c>
      <c r="G174" s="58">
        <v>0</v>
      </c>
      <c r="H174" s="58">
        <v>382000</v>
      </c>
      <c r="I174" s="58">
        <v>372000</v>
      </c>
      <c r="J174" s="58">
        <v>0</v>
      </c>
      <c r="K174" s="58">
        <v>472000</v>
      </c>
      <c r="L174" s="1"/>
      <c r="M174" s="1"/>
      <c r="N174" s="1"/>
      <c r="O174" s="1"/>
      <c r="P174" s="1"/>
      <c r="R174" s="1"/>
      <c r="S174" s="1"/>
      <c r="T174" s="1"/>
      <c r="U174" s="1"/>
      <c r="V174" s="1"/>
      <c r="X174" s="1"/>
      <c r="Y174" s="1"/>
      <c r="Z174" s="1"/>
      <c r="AA174" s="1"/>
      <c r="AB174" s="1"/>
      <c r="AD174" s="1"/>
      <c r="AE174" s="1"/>
      <c r="AF174" s="1"/>
      <c r="AG174" s="1"/>
      <c r="AH174" s="1"/>
      <c r="AP174" s="1"/>
      <c r="AQ174" s="1"/>
      <c r="AR174" s="1"/>
      <c r="AS174" s="1"/>
      <c r="AT174" s="1"/>
    </row>
    <row r="175" spans="1:46" x14ac:dyDescent="0.25">
      <c r="A175" s="9">
        <f t="shared" si="2"/>
        <v>172</v>
      </c>
      <c r="B175" s="51" t="s">
        <v>9</v>
      </c>
      <c r="C175" s="50" t="s">
        <v>408</v>
      </c>
      <c r="D175" s="50"/>
      <c r="E175" s="50"/>
      <c r="F175" s="58">
        <v>0</v>
      </c>
      <c r="G175" s="58">
        <v>0</v>
      </c>
      <c r="H175" s="58">
        <v>382000</v>
      </c>
      <c r="I175" s="58">
        <v>372000</v>
      </c>
      <c r="J175" s="58">
        <v>0</v>
      </c>
      <c r="K175" s="58">
        <v>472000</v>
      </c>
      <c r="L175" s="1"/>
      <c r="M175" s="1"/>
      <c r="N175" s="1"/>
      <c r="O175" s="1"/>
      <c r="P175" s="1"/>
      <c r="R175" s="1"/>
      <c r="S175" s="1"/>
      <c r="T175" s="1"/>
      <c r="U175" s="1"/>
      <c r="V175" s="1"/>
      <c r="X175" s="1"/>
      <c r="Y175" s="1"/>
      <c r="Z175" s="1"/>
      <c r="AA175" s="1"/>
      <c r="AB175" s="1"/>
      <c r="AD175" s="1"/>
      <c r="AE175" s="1"/>
      <c r="AF175" s="1"/>
      <c r="AG175" s="1"/>
      <c r="AH175" s="1"/>
      <c r="AP175" s="1"/>
      <c r="AQ175" s="1"/>
      <c r="AR175" s="1"/>
      <c r="AS175" s="1"/>
      <c r="AT175" s="1"/>
    </row>
    <row r="176" spans="1:46" x14ac:dyDescent="0.25">
      <c r="A176" s="9">
        <f t="shared" si="2"/>
        <v>173</v>
      </c>
      <c r="B176" s="51" t="s">
        <v>9</v>
      </c>
      <c r="C176" s="50" t="s">
        <v>385</v>
      </c>
      <c r="D176" s="50"/>
      <c r="E176" s="50"/>
      <c r="F176" s="58">
        <v>1156000</v>
      </c>
      <c r="G176" s="58">
        <v>0</v>
      </c>
      <c r="H176" s="58">
        <v>282000</v>
      </c>
      <c r="I176" s="58">
        <v>262000</v>
      </c>
      <c r="J176" s="58">
        <v>251000</v>
      </c>
      <c r="K176" s="58">
        <v>321000</v>
      </c>
      <c r="L176" s="1"/>
      <c r="M176" s="1"/>
      <c r="N176" s="1"/>
      <c r="O176" s="1"/>
      <c r="P176" s="1"/>
      <c r="R176" s="1"/>
      <c r="S176" s="1"/>
      <c r="T176" s="1"/>
      <c r="U176" s="1"/>
      <c r="V176" s="1"/>
      <c r="X176" s="1"/>
      <c r="Y176" s="1"/>
      <c r="Z176" s="1"/>
      <c r="AA176" s="1"/>
      <c r="AB176" s="1"/>
      <c r="AD176" s="1"/>
      <c r="AE176" s="1"/>
      <c r="AF176" s="1"/>
      <c r="AG176" s="1"/>
      <c r="AH176" s="1"/>
      <c r="AP176" s="1"/>
      <c r="AQ176" s="1"/>
      <c r="AR176" s="1"/>
      <c r="AS176" s="1"/>
      <c r="AT176" s="1"/>
    </row>
    <row r="177" spans="1:46" x14ac:dyDescent="0.25">
      <c r="A177" s="9">
        <f t="shared" si="2"/>
        <v>174</v>
      </c>
      <c r="B177" s="51" t="s">
        <v>9</v>
      </c>
      <c r="C177" s="50" t="s">
        <v>386</v>
      </c>
      <c r="D177" s="50"/>
      <c r="E177" s="50"/>
      <c r="F177" s="58">
        <v>1156000</v>
      </c>
      <c r="G177" s="58">
        <v>0</v>
      </c>
      <c r="H177" s="58">
        <v>282000</v>
      </c>
      <c r="I177" s="58">
        <v>262000</v>
      </c>
      <c r="J177" s="58">
        <v>251000</v>
      </c>
      <c r="K177" s="58">
        <v>321000</v>
      </c>
      <c r="L177" s="1"/>
      <c r="M177" s="1"/>
      <c r="N177" s="1"/>
      <c r="O177" s="1"/>
      <c r="P177" s="1"/>
      <c r="R177" s="1"/>
      <c r="S177" s="1"/>
      <c r="T177" s="1"/>
      <c r="U177" s="1"/>
      <c r="V177" s="1"/>
      <c r="X177" s="1"/>
      <c r="Y177" s="1"/>
      <c r="Z177" s="1"/>
      <c r="AA177" s="1"/>
      <c r="AB177" s="1"/>
      <c r="AD177" s="1"/>
      <c r="AE177" s="1"/>
      <c r="AF177" s="1"/>
      <c r="AG177" s="1"/>
      <c r="AH177" s="1"/>
      <c r="AP177" s="1"/>
      <c r="AQ177" s="1"/>
      <c r="AR177" s="1"/>
      <c r="AS177" s="1"/>
      <c r="AT177" s="1"/>
    </row>
    <row r="178" spans="1:46" x14ac:dyDescent="0.25">
      <c r="A178" s="9">
        <f t="shared" si="2"/>
        <v>175</v>
      </c>
      <c r="B178" s="51" t="s">
        <v>9</v>
      </c>
      <c r="C178" s="50" t="s">
        <v>98</v>
      </c>
      <c r="D178" s="50"/>
      <c r="E178" s="50"/>
      <c r="F178" s="58">
        <v>723000</v>
      </c>
      <c r="G178" s="58">
        <v>0</v>
      </c>
      <c r="H178" s="58">
        <v>251000</v>
      </c>
      <c r="I178" s="58">
        <v>241000</v>
      </c>
      <c r="J178" s="58">
        <v>231000</v>
      </c>
      <c r="K178" s="58">
        <v>321000</v>
      </c>
      <c r="L178" s="1"/>
      <c r="M178" s="1"/>
      <c r="N178" s="1"/>
      <c r="O178" s="1"/>
      <c r="P178" s="1"/>
      <c r="R178" s="1"/>
      <c r="S178" s="1"/>
      <c r="T178" s="1"/>
      <c r="U178" s="1"/>
      <c r="V178" s="1"/>
      <c r="X178" s="1"/>
      <c r="Y178" s="1"/>
      <c r="Z178" s="1"/>
      <c r="AA178" s="1"/>
      <c r="AB178" s="1"/>
      <c r="AD178" s="1"/>
      <c r="AE178" s="1"/>
      <c r="AF178" s="1"/>
      <c r="AG178" s="1"/>
      <c r="AH178" s="1"/>
      <c r="AP178" s="1"/>
      <c r="AQ178" s="1"/>
      <c r="AR178" s="1"/>
      <c r="AS178" s="1"/>
      <c r="AT178" s="1"/>
    </row>
    <row r="179" spans="1:46" x14ac:dyDescent="0.25">
      <c r="A179" s="9">
        <f t="shared" si="2"/>
        <v>176</v>
      </c>
      <c r="B179" s="51" t="s">
        <v>9</v>
      </c>
      <c r="C179" s="50" t="s">
        <v>387</v>
      </c>
      <c r="D179" s="50"/>
      <c r="E179" s="50"/>
      <c r="F179" s="58">
        <v>1156000</v>
      </c>
      <c r="G179" s="58">
        <v>0</v>
      </c>
      <c r="H179" s="58">
        <v>282000</v>
      </c>
      <c r="I179" s="58">
        <v>262000</v>
      </c>
      <c r="J179" s="58">
        <v>251000</v>
      </c>
      <c r="K179" s="58">
        <v>321000</v>
      </c>
      <c r="L179" s="1"/>
      <c r="M179" s="1"/>
      <c r="N179" s="1"/>
      <c r="O179" s="1"/>
      <c r="P179" s="1"/>
      <c r="R179" s="1"/>
      <c r="S179" s="1"/>
      <c r="T179" s="1"/>
      <c r="U179" s="1"/>
      <c r="V179" s="1"/>
      <c r="X179" s="1"/>
      <c r="Y179" s="1"/>
      <c r="Z179" s="1"/>
      <c r="AA179" s="1"/>
      <c r="AB179" s="1"/>
      <c r="AD179" s="1"/>
      <c r="AE179" s="1"/>
      <c r="AF179" s="1"/>
      <c r="AG179" s="1"/>
      <c r="AH179" s="1"/>
      <c r="AP179" s="1"/>
      <c r="AQ179" s="1"/>
      <c r="AR179" s="1"/>
      <c r="AS179" s="1"/>
      <c r="AT179" s="1"/>
    </row>
    <row r="180" spans="1:46" x14ac:dyDescent="0.25">
      <c r="A180" s="9">
        <f t="shared" si="2"/>
        <v>177</v>
      </c>
      <c r="B180" s="51" t="s">
        <v>9</v>
      </c>
      <c r="C180" s="50" t="s">
        <v>337</v>
      </c>
      <c r="D180" s="50"/>
      <c r="E180" s="50"/>
      <c r="F180" s="58">
        <v>1156000</v>
      </c>
      <c r="G180" s="58">
        <v>0</v>
      </c>
      <c r="H180" s="58">
        <v>282000</v>
      </c>
      <c r="I180" s="58">
        <v>262000</v>
      </c>
      <c r="J180" s="58">
        <v>251000</v>
      </c>
      <c r="K180" s="58">
        <v>321000</v>
      </c>
      <c r="L180" s="1"/>
      <c r="M180" s="1"/>
      <c r="N180" s="1"/>
      <c r="O180" s="1"/>
      <c r="P180" s="1"/>
      <c r="R180" s="1"/>
      <c r="S180" s="1"/>
      <c r="T180" s="1"/>
      <c r="U180" s="1"/>
      <c r="V180" s="1"/>
      <c r="X180" s="1"/>
      <c r="Y180" s="1"/>
      <c r="Z180" s="1"/>
      <c r="AA180" s="1"/>
      <c r="AB180" s="1"/>
      <c r="AD180" s="1"/>
      <c r="AE180" s="1"/>
      <c r="AF180" s="1"/>
      <c r="AG180" s="1"/>
      <c r="AH180" s="1"/>
      <c r="AP180" s="1"/>
      <c r="AQ180" s="1"/>
      <c r="AR180" s="1"/>
      <c r="AS180" s="1"/>
      <c r="AT180" s="1"/>
    </row>
    <row r="181" spans="1:46" x14ac:dyDescent="0.25">
      <c r="A181" s="9">
        <f t="shared" si="2"/>
        <v>178</v>
      </c>
      <c r="B181" s="51" t="s">
        <v>9</v>
      </c>
      <c r="C181" s="50" t="s">
        <v>100</v>
      </c>
      <c r="D181" s="50"/>
      <c r="E181" s="50"/>
      <c r="F181" s="58">
        <v>0</v>
      </c>
      <c r="G181" s="58">
        <v>0</v>
      </c>
      <c r="H181" s="58">
        <v>382000</v>
      </c>
      <c r="I181" s="58">
        <v>372000</v>
      </c>
      <c r="J181" s="58">
        <v>0</v>
      </c>
      <c r="K181" s="58">
        <v>472000</v>
      </c>
      <c r="L181" s="1"/>
      <c r="M181" s="1"/>
      <c r="N181" s="1"/>
      <c r="O181" s="1"/>
      <c r="P181" s="1"/>
      <c r="R181" s="1"/>
      <c r="S181" s="1"/>
      <c r="T181" s="1"/>
      <c r="U181" s="1"/>
      <c r="V181" s="1"/>
      <c r="X181" s="1"/>
      <c r="Y181" s="1"/>
      <c r="Z181" s="1"/>
      <c r="AA181" s="1"/>
      <c r="AB181" s="1"/>
      <c r="AD181" s="1"/>
      <c r="AE181" s="1"/>
      <c r="AF181" s="1"/>
      <c r="AG181" s="1"/>
      <c r="AH181" s="1"/>
      <c r="AP181" s="1"/>
      <c r="AQ181" s="1"/>
      <c r="AR181" s="1"/>
      <c r="AS181" s="1"/>
      <c r="AT181" s="1"/>
    </row>
    <row r="182" spans="1:46" x14ac:dyDescent="0.25">
      <c r="A182" s="9">
        <f t="shared" si="2"/>
        <v>179</v>
      </c>
      <c r="B182" s="51" t="s">
        <v>9</v>
      </c>
      <c r="C182" s="50" t="s">
        <v>388</v>
      </c>
      <c r="D182" s="50"/>
      <c r="E182" s="50"/>
      <c r="F182" s="58">
        <v>1156000</v>
      </c>
      <c r="G182" s="58">
        <v>0</v>
      </c>
      <c r="H182" s="58">
        <v>282000</v>
      </c>
      <c r="I182" s="58">
        <v>262000</v>
      </c>
      <c r="J182" s="58">
        <v>251000</v>
      </c>
      <c r="K182" s="58">
        <v>321000</v>
      </c>
      <c r="L182" s="1"/>
      <c r="M182" s="1"/>
      <c r="N182" s="1"/>
      <c r="O182" s="1"/>
      <c r="P182" s="1"/>
      <c r="R182" s="1"/>
      <c r="S182" s="1"/>
      <c r="T182" s="1"/>
      <c r="U182" s="1"/>
      <c r="V182" s="1"/>
      <c r="X182" s="1"/>
      <c r="Y182" s="1"/>
      <c r="Z182" s="1"/>
      <c r="AA182" s="1"/>
      <c r="AB182" s="1"/>
      <c r="AD182" s="1"/>
      <c r="AE182" s="1"/>
      <c r="AF182" s="1"/>
      <c r="AG182" s="1"/>
      <c r="AH182" s="1"/>
      <c r="AP182" s="1"/>
      <c r="AQ182" s="1"/>
      <c r="AR182" s="1"/>
      <c r="AS182" s="1"/>
      <c r="AT182" s="1"/>
    </row>
    <row r="183" spans="1:46" x14ac:dyDescent="0.25">
      <c r="A183" s="9">
        <f t="shared" si="2"/>
        <v>180</v>
      </c>
      <c r="B183" s="51" t="s">
        <v>9</v>
      </c>
      <c r="C183" s="50" t="s">
        <v>389</v>
      </c>
      <c r="D183" s="50"/>
      <c r="E183" s="50"/>
      <c r="F183" s="58">
        <v>1156000</v>
      </c>
      <c r="G183" s="58">
        <v>0</v>
      </c>
      <c r="H183" s="58">
        <v>282000</v>
      </c>
      <c r="I183" s="58">
        <v>262000</v>
      </c>
      <c r="J183" s="58">
        <v>251000</v>
      </c>
      <c r="K183" s="58">
        <v>321000</v>
      </c>
      <c r="L183" s="1"/>
      <c r="M183" s="1"/>
      <c r="N183" s="1"/>
      <c r="O183" s="1"/>
      <c r="P183" s="1"/>
      <c r="R183" s="1"/>
      <c r="S183" s="1"/>
      <c r="T183" s="1"/>
      <c r="U183" s="1"/>
      <c r="V183" s="1"/>
      <c r="X183" s="1"/>
      <c r="Y183" s="1"/>
      <c r="Z183" s="1"/>
      <c r="AA183" s="1"/>
      <c r="AB183" s="1"/>
      <c r="AD183" s="1"/>
      <c r="AE183" s="1"/>
      <c r="AF183" s="1"/>
      <c r="AG183" s="1"/>
      <c r="AH183" s="1"/>
      <c r="AP183" s="1"/>
      <c r="AQ183" s="1"/>
      <c r="AR183" s="1"/>
      <c r="AS183" s="1"/>
      <c r="AT183" s="1"/>
    </row>
    <row r="184" spans="1:46" x14ac:dyDescent="0.25">
      <c r="A184" s="9">
        <f t="shared" si="2"/>
        <v>181</v>
      </c>
      <c r="B184" s="51" t="s">
        <v>9</v>
      </c>
      <c r="C184" s="50" t="s">
        <v>101</v>
      </c>
      <c r="D184" s="50"/>
      <c r="E184" s="50"/>
      <c r="F184" s="58">
        <v>0</v>
      </c>
      <c r="G184" s="58">
        <v>0</v>
      </c>
      <c r="H184" s="58">
        <v>382000</v>
      </c>
      <c r="I184" s="58">
        <v>372000</v>
      </c>
      <c r="J184" s="58">
        <v>0</v>
      </c>
      <c r="K184" s="58">
        <v>472000</v>
      </c>
      <c r="L184" s="1"/>
      <c r="M184" s="1"/>
      <c r="N184" s="1"/>
      <c r="O184" s="1"/>
      <c r="P184" s="1"/>
      <c r="R184" s="1"/>
      <c r="S184" s="1"/>
      <c r="T184" s="1"/>
      <c r="U184" s="1"/>
      <c r="V184" s="1"/>
      <c r="X184" s="1"/>
      <c r="Y184" s="1"/>
      <c r="Z184" s="1"/>
      <c r="AA184" s="1"/>
      <c r="AB184" s="1"/>
      <c r="AD184" s="1"/>
      <c r="AE184" s="1"/>
      <c r="AF184" s="1"/>
      <c r="AG184" s="1"/>
      <c r="AH184" s="1"/>
      <c r="AP184" s="1"/>
      <c r="AQ184" s="1"/>
      <c r="AR184" s="1"/>
      <c r="AS184" s="1"/>
      <c r="AT184" s="1"/>
    </row>
    <row r="185" spans="1:46" x14ac:dyDescent="0.25">
      <c r="A185" s="9">
        <f t="shared" si="2"/>
        <v>182</v>
      </c>
      <c r="B185" s="51" t="s">
        <v>9</v>
      </c>
      <c r="C185" s="50" t="s">
        <v>390</v>
      </c>
      <c r="D185" s="50"/>
      <c r="E185" s="50"/>
      <c r="F185" s="58">
        <v>1156000</v>
      </c>
      <c r="G185" s="58">
        <v>0</v>
      </c>
      <c r="H185" s="58">
        <v>282000</v>
      </c>
      <c r="I185" s="58">
        <v>262000</v>
      </c>
      <c r="J185" s="58">
        <v>251000</v>
      </c>
      <c r="K185" s="58">
        <v>321000</v>
      </c>
      <c r="L185" s="1"/>
      <c r="M185" s="1"/>
      <c r="N185" s="1"/>
      <c r="O185" s="1"/>
      <c r="P185" s="1"/>
      <c r="R185" s="1"/>
      <c r="S185" s="1"/>
      <c r="T185" s="1"/>
      <c r="U185" s="1"/>
      <c r="V185" s="1"/>
      <c r="X185" s="1"/>
      <c r="Y185" s="1"/>
      <c r="Z185" s="1"/>
      <c r="AA185" s="1"/>
      <c r="AB185" s="1"/>
      <c r="AD185" s="1"/>
      <c r="AE185" s="1"/>
      <c r="AF185" s="1"/>
      <c r="AG185" s="1"/>
      <c r="AH185" s="1"/>
      <c r="AP185" s="1"/>
      <c r="AQ185" s="1"/>
      <c r="AR185" s="1"/>
      <c r="AS185" s="1"/>
      <c r="AT185" s="1"/>
    </row>
    <row r="186" spans="1:46" x14ac:dyDescent="0.25">
      <c r="A186" s="9">
        <f t="shared" si="2"/>
        <v>183</v>
      </c>
      <c r="B186" s="51" t="s">
        <v>9</v>
      </c>
      <c r="C186" s="50" t="s">
        <v>8</v>
      </c>
      <c r="D186" s="50"/>
      <c r="E186" s="50"/>
      <c r="F186" s="58">
        <v>1156000</v>
      </c>
      <c r="G186" s="58">
        <v>0</v>
      </c>
      <c r="H186" s="58">
        <v>282000</v>
      </c>
      <c r="I186" s="58">
        <v>262000</v>
      </c>
      <c r="J186" s="58">
        <v>251000</v>
      </c>
      <c r="K186" s="58">
        <v>321000</v>
      </c>
      <c r="L186" s="1"/>
      <c r="M186" s="1"/>
      <c r="N186" s="1"/>
      <c r="O186" s="1"/>
      <c r="P186" s="1"/>
      <c r="R186" s="1"/>
      <c r="S186" s="1"/>
      <c r="T186" s="1"/>
      <c r="U186" s="1"/>
      <c r="V186" s="1"/>
      <c r="X186" s="1"/>
      <c r="Y186" s="1"/>
      <c r="Z186" s="1"/>
      <c r="AA186" s="1"/>
      <c r="AB186" s="1"/>
      <c r="AD186" s="1"/>
      <c r="AE186" s="1"/>
      <c r="AF186" s="1"/>
      <c r="AG186" s="1"/>
      <c r="AH186" s="1"/>
      <c r="AP186" s="1"/>
      <c r="AQ186" s="1"/>
      <c r="AR186" s="1"/>
      <c r="AS186" s="1"/>
      <c r="AT186" s="1"/>
    </row>
    <row r="187" spans="1:46" x14ac:dyDescent="0.25">
      <c r="A187" s="9">
        <f t="shared" si="2"/>
        <v>184</v>
      </c>
      <c r="B187" s="51" t="s">
        <v>9</v>
      </c>
      <c r="C187" s="50" t="s">
        <v>391</v>
      </c>
      <c r="D187" s="50"/>
      <c r="E187" s="50"/>
      <c r="F187" s="58">
        <v>1156000</v>
      </c>
      <c r="G187" s="58">
        <v>0</v>
      </c>
      <c r="H187" s="58">
        <v>282000</v>
      </c>
      <c r="I187" s="58">
        <v>262000</v>
      </c>
      <c r="J187" s="58">
        <v>251000</v>
      </c>
      <c r="K187" s="58">
        <v>321000</v>
      </c>
      <c r="L187" s="1"/>
      <c r="M187" s="1"/>
      <c r="N187" s="1"/>
      <c r="O187" s="1"/>
      <c r="P187" s="1"/>
      <c r="R187" s="1"/>
      <c r="S187" s="1"/>
      <c r="T187" s="1"/>
      <c r="U187" s="1"/>
      <c r="V187" s="1"/>
      <c r="X187" s="1"/>
      <c r="Y187" s="1"/>
      <c r="Z187" s="1"/>
      <c r="AA187" s="1"/>
      <c r="AB187" s="1"/>
      <c r="AD187" s="1"/>
      <c r="AE187" s="1"/>
      <c r="AF187" s="1"/>
      <c r="AG187" s="1"/>
      <c r="AH187" s="1"/>
      <c r="AP187" s="1"/>
      <c r="AQ187" s="1"/>
      <c r="AR187" s="1"/>
      <c r="AS187" s="1"/>
      <c r="AT187" s="1"/>
    </row>
    <row r="188" spans="1:46" x14ac:dyDescent="0.25">
      <c r="A188" s="9">
        <f t="shared" si="2"/>
        <v>185</v>
      </c>
      <c r="B188" s="51" t="s">
        <v>9</v>
      </c>
      <c r="C188" s="50" t="s">
        <v>320</v>
      </c>
      <c r="D188" s="50"/>
      <c r="E188" s="50" t="s">
        <v>706</v>
      </c>
      <c r="F188" s="58">
        <v>0</v>
      </c>
      <c r="G188" s="58">
        <v>0</v>
      </c>
      <c r="H188" s="58">
        <v>382000</v>
      </c>
      <c r="I188" s="58">
        <v>372000</v>
      </c>
      <c r="J188" s="58">
        <v>0</v>
      </c>
      <c r="K188" s="58">
        <v>472000</v>
      </c>
      <c r="L188" s="1"/>
      <c r="M188" s="1"/>
      <c r="N188" s="1"/>
      <c r="O188" s="1"/>
      <c r="P188" s="1"/>
      <c r="R188" s="1"/>
      <c r="S188" s="1"/>
      <c r="T188" s="1"/>
      <c r="U188" s="1"/>
      <c r="V188" s="1"/>
      <c r="X188" s="1"/>
      <c r="Y188" s="1"/>
      <c r="Z188" s="1"/>
      <c r="AA188" s="1"/>
      <c r="AB188" s="1"/>
      <c r="AD188" s="1"/>
      <c r="AE188" s="1"/>
      <c r="AF188" s="1"/>
      <c r="AG188" s="1"/>
      <c r="AH188" s="1"/>
      <c r="AP188" s="1"/>
      <c r="AQ188" s="1"/>
      <c r="AR188" s="1"/>
      <c r="AS188" s="1"/>
      <c r="AT188" s="1"/>
    </row>
    <row r="189" spans="1:46" x14ac:dyDescent="0.25">
      <c r="A189" s="9">
        <f t="shared" si="2"/>
        <v>186</v>
      </c>
      <c r="B189" s="51" t="s">
        <v>9</v>
      </c>
      <c r="C189" s="50" t="s">
        <v>99</v>
      </c>
      <c r="D189" s="50"/>
      <c r="E189" s="50"/>
      <c r="F189" s="58">
        <v>1407000</v>
      </c>
      <c r="G189" s="58">
        <v>0</v>
      </c>
      <c r="H189" s="58">
        <v>362000</v>
      </c>
      <c r="I189" s="58">
        <v>302000</v>
      </c>
      <c r="J189" s="58">
        <v>282000</v>
      </c>
      <c r="K189" s="58">
        <v>0</v>
      </c>
      <c r="L189" s="1"/>
      <c r="M189" s="1"/>
      <c r="N189" s="1"/>
      <c r="O189" s="1"/>
      <c r="P189" s="1"/>
      <c r="R189" s="1"/>
      <c r="S189" s="1"/>
      <c r="T189" s="1"/>
      <c r="U189" s="1"/>
      <c r="V189" s="1"/>
      <c r="X189" s="1"/>
      <c r="Y189" s="1"/>
      <c r="Z189" s="1"/>
      <c r="AA189" s="1"/>
      <c r="AB189" s="1"/>
      <c r="AD189" s="1"/>
      <c r="AE189" s="1"/>
      <c r="AF189" s="1"/>
      <c r="AG189" s="1"/>
      <c r="AH189" s="1"/>
      <c r="AP189" s="1"/>
      <c r="AQ189" s="1"/>
      <c r="AR189" s="1"/>
      <c r="AS189" s="1"/>
      <c r="AT189" s="1"/>
    </row>
    <row r="190" spans="1:46" x14ac:dyDescent="0.25">
      <c r="A190" s="9">
        <f t="shared" si="2"/>
        <v>187</v>
      </c>
      <c r="B190" s="51" t="s">
        <v>9</v>
      </c>
      <c r="C190" s="50" t="s">
        <v>392</v>
      </c>
      <c r="D190" s="50"/>
      <c r="E190" s="50"/>
      <c r="F190" s="58">
        <v>1156000</v>
      </c>
      <c r="G190" s="58">
        <v>0</v>
      </c>
      <c r="H190" s="58">
        <v>282000</v>
      </c>
      <c r="I190" s="58">
        <v>262000</v>
      </c>
      <c r="J190" s="58">
        <v>251000</v>
      </c>
      <c r="K190" s="58">
        <v>321000</v>
      </c>
      <c r="L190" s="1"/>
      <c r="M190" s="1"/>
      <c r="N190" s="1"/>
      <c r="O190" s="1"/>
      <c r="P190" s="1"/>
      <c r="R190" s="1"/>
      <c r="S190" s="1"/>
      <c r="T190" s="1"/>
      <c r="U190" s="1"/>
      <c r="V190" s="1"/>
      <c r="X190" s="1"/>
      <c r="Y190" s="1"/>
      <c r="Z190" s="1"/>
      <c r="AA190" s="1"/>
      <c r="AB190" s="1"/>
      <c r="AD190" s="1"/>
      <c r="AE190" s="1"/>
      <c r="AF190" s="1"/>
      <c r="AG190" s="1"/>
      <c r="AH190" s="1"/>
      <c r="AP190" s="1"/>
      <c r="AQ190" s="1"/>
      <c r="AR190" s="1"/>
      <c r="AS190" s="1"/>
      <c r="AT190" s="1"/>
    </row>
    <row r="191" spans="1:46" x14ac:dyDescent="0.25">
      <c r="A191" s="9">
        <f t="shared" si="2"/>
        <v>188</v>
      </c>
      <c r="B191" s="51" t="s">
        <v>9</v>
      </c>
      <c r="C191" s="50" t="s">
        <v>393</v>
      </c>
      <c r="D191" s="50"/>
      <c r="E191" s="50"/>
      <c r="F191" s="58">
        <v>1156000</v>
      </c>
      <c r="G191" s="58">
        <v>0</v>
      </c>
      <c r="H191" s="58">
        <v>282000</v>
      </c>
      <c r="I191" s="58">
        <v>262000</v>
      </c>
      <c r="J191" s="58">
        <v>251000</v>
      </c>
      <c r="K191" s="58">
        <v>321000</v>
      </c>
      <c r="L191" s="1"/>
      <c r="M191" s="1"/>
      <c r="N191" s="1"/>
      <c r="O191" s="1"/>
      <c r="P191" s="1"/>
      <c r="R191" s="1"/>
      <c r="S191" s="1"/>
      <c r="T191" s="1"/>
      <c r="U191" s="1"/>
      <c r="V191" s="1"/>
      <c r="X191" s="1"/>
      <c r="Y191" s="1"/>
      <c r="Z191" s="1"/>
      <c r="AA191" s="1"/>
      <c r="AB191" s="1"/>
      <c r="AD191" s="1"/>
      <c r="AE191" s="1"/>
      <c r="AF191" s="1"/>
      <c r="AG191" s="1"/>
      <c r="AH191" s="1"/>
      <c r="AP191" s="1"/>
      <c r="AQ191" s="1"/>
      <c r="AR191" s="1"/>
      <c r="AS191" s="1"/>
      <c r="AT191" s="1"/>
    </row>
    <row r="192" spans="1:46" x14ac:dyDescent="0.25">
      <c r="A192" s="9">
        <f t="shared" si="2"/>
        <v>189</v>
      </c>
      <c r="B192" s="51" t="s">
        <v>9</v>
      </c>
      <c r="C192" s="50" t="s">
        <v>394</v>
      </c>
      <c r="D192" s="50"/>
      <c r="E192" s="50"/>
      <c r="F192" s="58">
        <v>1156000</v>
      </c>
      <c r="G192" s="58">
        <v>0</v>
      </c>
      <c r="H192" s="58">
        <v>282000</v>
      </c>
      <c r="I192" s="58">
        <v>262000</v>
      </c>
      <c r="J192" s="58">
        <v>251000</v>
      </c>
      <c r="K192" s="58">
        <v>321000</v>
      </c>
      <c r="L192" s="1"/>
      <c r="M192" s="1"/>
      <c r="N192" s="1"/>
      <c r="O192" s="1"/>
      <c r="P192" s="1"/>
      <c r="R192" s="1"/>
      <c r="S192" s="1"/>
      <c r="T192" s="1"/>
      <c r="U192" s="1"/>
      <c r="V192" s="1"/>
      <c r="X192" s="1"/>
      <c r="Y192" s="1"/>
      <c r="Z192" s="1"/>
      <c r="AA192" s="1"/>
      <c r="AB192" s="1"/>
      <c r="AD192" s="1"/>
      <c r="AE192" s="1"/>
      <c r="AF192" s="1"/>
      <c r="AG192" s="1"/>
      <c r="AH192" s="1"/>
      <c r="AP192" s="1"/>
      <c r="AQ192" s="1"/>
      <c r="AR192" s="1"/>
      <c r="AS192" s="1"/>
      <c r="AT192" s="1"/>
    </row>
    <row r="193" spans="1:46" x14ac:dyDescent="0.25">
      <c r="A193" s="9">
        <f t="shared" si="2"/>
        <v>190</v>
      </c>
      <c r="B193" s="51" t="s">
        <v>9</v>
      </c>
      <c r="C193" s="50" t="s">
        <v>395</v>
      </c>
      <c r="D193" s="50"/>
      <c r="E193" s="50"/>
      <c r="F193" s="58">
        <v>1156000</v>
      </c>
      <c r="G193" s="58">
        <v>0</v>
      </c>
      <c r="H193" s="58">
        <v>282000</v>
      </c>
      <c r="I193" s="58">
        <v>262000</v>
      </c>
      <c r="J193" s="58">
        <v>251000</v>
      </c>
      <c r="K193" s="58">
        <v>321000</v>
      </c>
      <c r="L193" s="1"/>
      <c r="M193" s="1"/>
      <c r="N193" s="1"/>
      <c r="O193" s="1"/>
      <c r="P193" s="1"/>
      <c r="R193" s="1"/>
      <c r="S193" s="1"/>
      <c r="T193" s="1"/>
      <c r="U193" s="1"/>
      <c r="V193" s="1"/>
      <c r="X193" s="1"/>
      <c r="Y193" s="1"/>
      <c r="Z193" s="1"/>
      <c r="AA193" s="1"/>
      <c r="AB193" s="1"/>
      <c r="AD193" s="1"/>
      <c r="AE193" s="1"/>
      <c r="AF193" s="1"/>
      <c r="AG193" s="1"/>
      <c r="AH193" s="1"/>
      <c r="AP193" s="1"/>
      <c r="AQ193" s="1"/>
      <c r="AR193" s="1"/>
      <c r="AS193" s="1"/>
      <c r="AT193" s="1"/>
    </row>
    <row r="194" spans="1:46" x14ac:dyDescent="0.25">
      <c r="A194" s="9">
        <f t="shared" si="2"/>
        <v>191</v>
      </c>
      <c r="B194" s="51" t="s">
        <v>9</v>
      </c>
      <c r="C194" s="50" t="s">
        <v>396</v>
      </c>
      <c r="D194" s="50"/>
      <c r="E194" s="50"/>
      <c r="F194" s="58">
        <v>1156000</v>
      </c>
      <c r="G194" s="58">
        <v>0</v>
      </c>
      <c r="H194" s="58">
        <v>282000</v>
      </c>
      <c r="I194" s="58">
        <v>262000</v>
      </c>
      <c r="J194" s="58">
        <v>251000</v>
      </c>
      <c r="K194" s="58">
        <v>321000</v>
      </c>
      <c r="L194" s="1"/>
      <c r="M194" s="1"/>
      <c r="N194" s="1"/>
      <c r="O194" s="1"/>
      <c r="P194" s="1"/>
      <c r="R194" s="1"/>
      <c r="S194" s="1"/>
      <c r="T194" s="1"/>
      <c r="U194" s="1"/>
      <c r="V194" s="1"/>
      <c r="X194" s="1"/>
      <c r="Y194" s="1"/>
      <c r="Z194" s="1"/>
      <c r="AA194" s="1"/>
      <c r="AB194" s="1"/>
      <c r="AD194" s="1"/>
      <c r="AE194" s="1"/>
      <c r="AF194" s="1"/>
      <c r="AG194" s="1"/>
      <c r="AH194" s="1"/>
      <c r="AP194" s="1"/>
      <c r="AQ194" s="1"/>
      <c r="AR194" s="1"/>
      <c r="AS194" s="1"/>
      <c r="AT194" s="1"/>
    </row>
    <row r="195" spans="1:46" x14ac:dyDescent="0.25">
      <c r="A195" s="9">
        <f t="shared" si="2"/>
        <v>192</v>
      </c>
      <c r="B195" s="51" t="s">
        <v>9</v>
      </c>
      <c r="C195" s="50" t="s">
        <v>410</v>
      </c>
      <c r="D195" s="50"/>
      <c r="E195" s="50"/>
      <c r="F195" s="58">
        <v>0</v>
      </c>
      <c r="G195" s="58">
        <v>0</v>
      </c>
      <c r="H195" s="58">
        <v>382000</v>
      </c>
      <c r="I195" s="58">
        <v>372000</v>
      </c>
      <c r="J195" s="58">
        <v>0</v>
      </c>
      <c r="K195" s="58">
        <v>472000</v>
      </c>
      <c r="L195" s="1"/>
      <c r="M195" s="1"/>
      <c r="N195" s="1"/>
      <c r="O195" s="1"/>
      <c r="P195" s="1"/>
      <c r="R195" s="1"/>
      <c r="S195" s="1"/>
      <c r="T195" s="1"/>
      <c r="U195" s="1"/>
      <c r="V195" s="1"/>
      <c r="X195" s="1"/>
      <c r="Y195" s="1"/>
      <c r="Z195" s="1"/>
      <c r="AA195" s="1"/>
      <c r="AB195" s="1"/>
      <c r="AD195" s="1"/>
      <c r="AE195" s="1"/>
      <c r="AF195" s="1"/>
      <c r="AG195" s="1"/>
      <c r="AH195" s="1"/>
      <c r="AP195" s="1"/>
      <c r="AQ195" s="1"/>
      <c r="AR195" s="1"/>
      <c r="AS195" s="1"/>
      <c r="AT195" s="1"/>
    </row>
    <row r="196" spans="1:46" x14ac:dyDescent="0.25">
      <c r="A196" s="9">
        <f t="shared" si="2"/>
        <v>193</v>
      </c>
      <c r="B196" s="51" t="s">
        <v>9</v>
      </c>
      <c r="C196" s="50" t="s">
        <v>411</v>
      </c>
      <c r="D196" s="50"/>
      <c r="E196" s="50"/>
      <c r="F196" s="58">
        <v>0</v>
      </c>
      <c r="G196" s="58">
        <v>0</v>
      </c>
      <c r="H196" s="58">
        <v>382000</v>
      </c>
      <c r="I196" s="58">
        <v>372000</v>
      </c>
      <c r="J196" s="58">
        <v>0</v>
      </c>
      <c r="K196" s="58">
        <v>472000</v>
      </c>
      <c r="L196" s="1"/>
      <c r="M196" s="1"/>
      <c r="N196" s="1"/>
      <c r="O196" s="1"/>
      <c r="P196" s="1"/>
      <c r="R196" s="1"/>
      <c r="S196" s="1"/>
      <c r="T196" s="1"/>
      <c r="U196" s="1"/>
      <c r="V196" s="1"/>
      <c r="X196" s="1"/>
      <c r="Y196" s="1"/>
      <c r="Z196" s="1"/>
      <c r="AA196" s="1"/>
      <c r="AB196" s="1"/>
      <c r="AD196" s="1"/>
      <c r="AE196" s="1"/>
      <c r="AF196" s="1"/>
      <c r="AG196" s="1"/>
      <c r="AH196" s="1"/>
      <c r="AP196" s="1"/>
      <c r="AQ196" s="1"/>
      <c r="AR196" s="1"/>
      <c r="AS196" s="1"/>
      <c r="AT196" s="1"/>
    </row>
    <row r="197" spans="1:46" x14ac:dyDescent="0.25">
      <c r="A197" s="9">
        <f t="shared" ref="A197:A205" si="3">A196+1</f>
        <v>194</v>
      </c>
      <c r="B197" s="51" t="s">
        <v>9</v>
      </c>
      <c r="C197" s="50" t="s">
        <v>102</v>
      </c>
      <c r="D197" s="50"/>
      <c r="E197" s="50"/>
      <c r="F197" s="58">
        <v>0</v>
      </c>
      <c r="G197" s="58">
        <v>0</v>
      </c>
      <c r="H197" s="58">
        <v>382000</v>
      </c>
      <c r="I197" s="58">
        <v>372000</v>
      </c>
      <c r="J197" s="58">
        <v>0</v>
      </c>
      <c r="K197" s="58">
        <v>472000</v>
      </c>
      <c r="L197" s="1"/>
      <c r="M197" s="1"/>
      <c r="N197" s="1"/>
      <c r="O197" s="1"/>
      <c r="P197" s="1"/>
      <c r="R197" s="1"/>
      <c r="S197" s="1"/>
      <c r="T197" s="1"/>
      <c r="U197" s="1"/>
      <c r="V197" s="1"/>
      <c r="X197" s="1"/>
      <c r="Y197" s="1"/>
      <c r="Z197" s="1"/>
      <c r="AA197" s="1"/>
      <c r="AB197" s="1"/>
      <c r="AD197" s="1"/>
      <c r="AE197" s="1"/>
      <c r="AF197" s="1"/>
      <c r="AG197" s="1"/>
      <c r="AH197" s="1"/>
      <c r="AP197" s="1"/>
      <c r="AQ197" s="1"/>
      <c r="AR197" s="1"/>
      <c r="AS197" s="1"/>
      <c r="AT197" s="1"/>
    </row>
    <row r="198" spans="1:46" x14ac:dyDescent="0.25">
      <c r="A198" s="9">
        <f t="shared" si="3"/>
        <v>195</v>
      </c>
      <c r="B198" s="51" t="s">
        <v>19</v>
      </c>
      <c r="C198" s="50" t="s">
        <v>284</v>
      </c>
      <c r="D198" s="50"/>
      <c r="E198" s="50"/>
      <c r="F198" s="58">
        <v>0</v>
      </c>
      <c r="G198" s="58">
        <v>0</v>
      </c>
      <c r="H198" s="58">
        <v>382000</v>
      </c>
      <c r="I198" s="58">
        <v>362000</v>
      </c>
      <c r="J198" s="58">
        <v>321000</v>
      </c>
      <c r="K198" s="58">
        <v>483000</v>
      </c>
      <c r="L198" s="1"/>
      <c r="M198" s="1"/>
      <c r="N198" s="1"/>
      <c r="O198" s="1"/>
      <c r="P198" s="1"/>
      <c r="R198" s="1"/>
      <c r="S198" s="1"/>
      <c r="T198" s="1"/>
      <c r="U198" s="1"/>
      <c r="V198" s="1"/>
      <c r="X198" s="1"/>
      <c r="Y198" s="1"/>
      <c r="Z198" s="1"/>
      <c r="AA198" s="1"/>
      <c r="AB198" s="1"/>
      <c r="AD198" s="1"/>
      <c r="AE198" s="1"/>
      <c r="AF198" s="1"/>
      <c r="AG198" s="1"/>
      <c r="AH198" s="1"/>
      <c r="AP198" s="1"/>
      <c r="AQ198" s="1"/>
      <c r="AR198" s="1"/>
      <c r="AS198" s="1"/>
      <c r="AT198" s="1"/>
    </row>
    <row r="199" spans="1:46" x14ac:dyDescent="0.25">
      <c r="A199" s="9">
        <f t="shared" si="3"/>
        <v>196</v>
      </c>
      <c r="B199" s="51" t="s">
        <v>19</v>
      </c>
      <c r="C199" s="50" t="s">
        <v>419</v>
      </c>
      <c r="D199" s="50"/>
      <c r="E199" s="50"/>
      <c r="F199" s="58">
        <v>0</v>
      </c>
      <c r="G199" s="58">
        <v>0</v>
      </c>
      <c r="H199" s="58">
        <v>432000</v>
      </c>
      <c r="I199" s="58">
        <v>422000</v>
      </c>
      <c r="J199" s="58">
        <v>352000</v>
      </c>
      <c r="K199" s="58">
        <v>553000</v>
      </c>
      <c r="L199" s="1"/>
      <c r="M199" s="1"/>
      <c r="N199" s="1"/>
      <c r="O199" s="1"/>
      <c r="P199" s="1"/>
      <c r="R199" s="1"/>
      <c r="S199" s="1"/>
      <c r="T199" s="1"/>
      <c r="U199" s="1"/>
      <c r="V199" s="1"/>
      <c r="X199" s="1"/>
      <c r="Y199" s="1"/>
      <c r="Z199" s="1"/>
      <c r="AA199" s="1"/>
      <c r="AB199" s="1"/>
      <c r="AD199" s="1"/>
      <c r="AE199" s="1"/>
      <c r="AF199" s="1"/>
      <c r="AG199" s="1"/>
      <c r="AH199" s="1"/>
      <c r="AP199" s="1"/>
      <c r="AQ199" s="1"/>
      <c r="AR199" s="1"/>
      <c r="AS199" s="1"/>
      <c r="AT199" s="1"/>
    </row>
    <row r="200" spans="1:46" x14ac:dyDescent="0.25">
      <c r="A200" s="9">
        <f t="shared" si="3"/>
        <v>197</v>
      </c>
      <c r="B200" s="51" t="s">
        <v>19</v>
      </c>
      <c r="C200" s="50" t="s">
        <v>420</v>
      </c>
      <c r="D200" s="50"/>
      <c r="E200" s="50"/>
      <c r="F200" s="58">
        <v>0</v>
      </c>
      <c r="G200" s="58">
        <v>0</v>
      </c>
      <c r="H200" s="58">
        <v>432000</v>
      </c>
      <c r="I200" s="58">
        <v>422000</v>
      </c>
      <c r="J200" s="58">
        <v>352000</v>
      </c>
      <c r="K200" s="58">
        <v>553000</v>
      </c>
      <c r="L200" s="1"/>
      <c r="M200" s="1"/>
      <c r="N200" s="1"/>
      <c r="O200" s="1"/>
      <c r="P200" s="1"/>
      <c r="R200" s="1"/>
      <c r="S200" s="1"/>
      <c r="T200" s="1"/>
      <c r="U200" s="1"/>
      <c r="V200" s="1"/>
      <c r="X200" s="1"/>
      <c r="Y200" s="1"/>
      <c r="Z200" s="1"/>
      <c r="AA200" s="1"/>
      <c r="AB200" s="1"/>
      <c r="AD200" s="1"/>
      <c r="AE200" s="1"/>
      <c r="AF200" s="1"/>
      <c r="AG200" s="1"/>
      <c r="AH200" s="1"/>
      <c r="AP200" s="1"/>
      <c r="AQ200" s="1"/>
      <c r="AR200" s="1"/>
      <c r="AS200" s="1"/>
      <c r="AT200" s="1"/>
    </row>
    <row r="201" spans="1:46" x14ac:dyDescent="0.25">
      <c r="A201" s="9">
        <f t="shared" si="3"/>
        <v>198</v>
      </c>
      <c r="B201" s="51" t="s">
        <v>19</v>
      </c>
      <c r="C201" s="50" t="s">
        <v>294</v>
      </c>
      <c r="D201" s="50"/>
      <c r="E201" s="50"/>
      <c r="F201" s="58">
        <v>0</v>
      </c>
      <c r="G201" s="58">
        <v>0</v>
      </c>
      <c r="H201" s="58">
        <v>352000</v>
      </c>
      <c r="I201" s="58">
        <v>321000</v>
      </c>
      <c r="J201" s="58">
        <v>282000</v>
      </c>
      <c r="K201" s="58">
        <v>463000</v>
      </c>
      <c r="L201" s="1"/>
      <c r="M201" s="1"/>
      <c r="N201" s="1"/>
      <c r="O201" s="1"/>
      <c r="P201" s="1"/>
      <c r="R201" s="1"/>
      <c r="S201" s="1"/>
      <c r="T201" s="1"/>
      <c r="U201" s="1"/>
      <c r="V201" s="1"/>
      <c r="X201" s="1"/>
      <c r="Y201" s="1"/>
      <c r="Z201" s="1"/>
      <c r="AA201" s="1"/>
      <c r="AB201" s="1"/>
      <c r="AD201" s="1"/>
      <c r="AE201" s="1"/>
      <c r="AF201" s="1"/>
      <c r="AG201" s="1"/>
      <c r="AH201" s="1"/>
      <c r="AP201" s="1"/>
      <c r="AQ201" s="1"/>
      <c r="AR201" s="1"/>
      <c r="AS201" s="1"/>
      <c r="AT201" s="1"/>
    </row>
    <row r="202" spans="1:46" x14ac:dyDescent="0.25">
      <c r="A202" s="9">
        <f t="shared" si="3"/>
        <v>199</v>
      </c>
      <c r="B202" s="51" t="s">
        <v>19</v>
      </c>
      <c r="C202" s="50" t="s">
        <v>295</v>
      </c>
      <c r="D202" s="50"/>
      <c r="E202" s="50"/>
      <c r="F202" s="58">
        <v>0</v>
      </c>
      <c r="G202" s="58">
        <v>0</v>
      </c>
      <c r="H202" s="58">
        <v>352000</v>
      </c>
      <c r="I202" s="58">
        <v>321000</v>
      </c>
      <c r="J202" s="58">
        <v>282000</v>
      </c>
      <c r="K202" s="58">
        <v>463000</v>
      </c>
      <c r="L202" s="1"/>
      <c r="M202" s="1"/>
      <c r="N202" s="1"/>
      <c r="O202" s="1"/>
      <c r="P202" s="1"/>
      <c r="R202" s="1"/>
      <c r="S202" s="1"/>
      <c r="T202" s="1"/>
      <c r="U202" s="1"/>
      <c r="V202" s="1"/>
      <c r="X202" s="1"/>
      <c r="Y202" s="1"/>
      <c r="Z202" s="1"/>
      <c r="AA202" s="1"/>
      <c r="AB202" s="1"/>
      <c r="AD202" s="1"/>
      <c r="AE202" s="1"/>
      <c r="AF202" s="1"/>
      <c r="AG202" s="1"/>
      <c r="AH202" s="1"/>
      <c r="AP202" s="1"/>
      <c r="AQ202" s="1"/>
      <c r="AR202" s="1"/>
      <c r="AS202" s="1"/>
      <c r="AT202" s="1"/>
    </row>
    <row r="203" spans="1:46" x14ac:dyDescent="0.25">
      <c r="A203" s="9">
        <f t="shared" si="3"/>
        <v>200</v>
      </c>
      <c r="B203" s="51" t="s">
        <v>19</v>
      </c>
      <c r="C203" s="50" t="s">
        <v>87</v>
      </c>
      <c r="D203" s="50"/>
      <c r="E203" s="50"/>
      <c r="F203" s="58">
        <v>0</v>
      </c>
      <c r="G203" s="58">
        <v>0</v>
      </c>
      <c r="H203" s="58">
        <v>352000</v>
      </c>
      <c r="I203" s="58">
        <v>321000</v>
      </c>
      <c r="J203" s="58">
        <v>282000</v>
      </c>
      <c r="K203" s="58">
        <v>463000</v>
      </c>
      <c r="L203" s="1"/>
      <c r="M203" s="1"/>
      <c r="N203" s="1"/>
      <c r="O203" s="1"/>
      <c r="P203" s="1"/>
      <c r="R203" s="1"/>
      <c r="S203" s="1"/>
      <c r="T203" s="1"/>
      <c r="U203" s="1"/>
      <c r="V203" s="1"/>
      <c r="X203" s="1"/>
      <c r="Y203" s="1"/>
      <c r="Z203" s="1"/>
      <c r="AA203" s="1"/>
      <c r="AB203" s="1"/>
      <c r="AD203" s="1"/>
      <c r="AE203" s="1"/>
      <c r="AF203" s="1"/>
      <c r="AG203" s="1"/>
      <c r="AH203" s="1"/>
      <c r="AP203" s="1"/>
      <c r="AQ203" s="1"/>
      <c r="AR203" s="1"/>
      <c r="AS203" s="1"/>
      <c r="AT203" s="1"/>
    </row>
    <row r="204" spans="1:46" x14ac:dyDescent="0.25">
      <c r="A204" s="9">
        <f t="shared" si="3"/>
        <v>201</v>
      </c>
      <c r="B204" s="51" t="s">
        <v>19</v>
      </c>
      <c r="C204" s="50" t="s">
        <v>296</v>
      </c>
      <c r="D204" s="50"/>
      <c r="E204" s="50"/>
      <c r="F204" s="58">
        <v>0</v>
      </c>
      <c r="G204" s="58">
        <v>0</v>
      </c>
      <c r="H204" s="58">
        <v>352000</v>
      </c>
      <c r="I204" s="58">
        <v>321000</v>
      </c>
      <c r="J204" s="58">
        <v>282000</v>
      </c>
      <c r="K204" s="58">
        <v>463000</v>
      </c>
      <c r="L204" s="1"/>
      <c r="M204" s="1"/>
      <c r="N204" s="1"/>
      <c r="O204" s="1"/>
      <c r="P204" s="1"/>
      <c r="R204" s="1"/>
      <c r="S204" s="1"/>
      <c r="T204" s="1"/>
      <c r="U204" s="1"/>
      <c r="V204" s="1"/>
      <c r="X204" s="1"/>
      <c r="Y204" s="1"/>
      <c r="Z204" s="1"/>
      <c r="AA204" s="1"/>
      <c r="AB204" s="1"/>
      <c r="AD204" s="1"/>
      <c r="AE204" s="1"/>
      <c r="AF204" s="1"/>
      <c r="AG204" s="1"/>
      <c r="AH204" s="1"/>
      <c r="AP204" s="1"/>
      <c r="AQ204" s="1"/>
      <c r="AR204" s="1"/>
      <c r="AS204" s="1"/>
      <c r="AT204" s="1"/>
    </row>
    <row r="205" spans="1:46" x14ac:dyDescent="0.25">
      <c r="A205" s="12">
        <f t="shared" si="3"/>
        <v>202</v>
      </c>
      <c r="B205" s="12" t="s">
        <v>19</v>
      </c>
      <c r="C205" s="16" t="s">
        <v>35</v>
      </c>
      <c r="D205" s="16"/>
      <c r="E205" s="16"/>
      <c r="F205" s="59">
        <v>0</v>
      </c>
      <c r="G205" s="59">
        <v>0</v>
      </c>
      <c r="H205" s="59">
        <v>432000</v>
      </c>
      <c r="I205" s="59">
        <v>422000</v>
      </c>
      <c r="J205" s="59">
        <v>352000</v>
      </c>
      <c r="K205" s="59">
        <v>553000</v>
      </c>
      <c r="L205" s="1"/>
      <c r="M205" s="1"/>
      <c r="N205" s="1"/>
      <c r="O205" s="1"/>
      <c r="P205" s="1"/>
      <c r="R205" s="1"/>
      <c r="S205" s="1"/>
      <c r="T205" s="1"/>
      <c r="U205" s="1"/>
      <c r="V205" s="1"/>
      <c r="X205" s="1"/>
      <c r="Y205" s="1"/>
      <c r="Z205" s="1"/>
      <c r="AA205" s="1"/>
      <c r="AB205" s="1"/>
      <c r="AD205" s="1"/>
      <c r="AE205" s="1"/>
      <c r="AF205" s="1"/>
      <c r="AG205" s="1"/>
      <c r="AH205" s="1"/>
      <c r="AP205" s="1"/>
      <c r="AQ205" s="1"/>
      <c r="AR205" s="1"/>
      <c r="AS205" s="1"/>
      <c r="AT205" s="1"/>
    </row>
    <row r="206" spans="1:46" x14ac:dyDescent="0.25">
      <c r="L206" s="1"/>
      <c r="M206" s="1"/>
      <c r="N206" s="1"/>
      <c r="O206" s="1"/>
      <c r="P206" s="1"/>
      <c r="R206" s="1"/>
      <c r="S206" s="1"/>
      <c r="T206" s="1"/>
      <c r="U206" s="1"/>
      <c r="V206" s="1"/>
      <c r="X206" s="1"/>
      <c r="Y206" s="1"/>
      <c r="Z206" s="1"/>
      <c r="AA206" s="1"/>
      <c r="AB206" s="1"/>
      <c r="AD206" s="1"/>
      <c r="AE206" s="1"/>
      <c r="AF206" s="1"/>
      <c r="AG206" s="1"/>
      <c r="AH206" s="1"/>
      <c r="AP206" s="1"/>
      <c r="AQ206" s="1"/>
      <c r="AR206" s="1"/>
      <c r="AS206" s="1"/>
      <c r="AT206" s="1"/>
    </row>
  </sheetData>
  <mergeCells count="6">
    <mergeCell ref="F1:K1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B8479-8964-4956-9783-CC442C659AF2}">
  <dimension ref="A1:M80"/>
  <sheetViews>
    <sheetView zoomScaleNormal="100" workbookViewId="0">
      <pane xSplit="2" ySplit="3" topLeftCell="C55" activePane="bottomRight" state="frozen"/>
      <selection activeCell="CO62" sqref="CO62"/>
      <selection pane="topRight" activeCell="CO62" sqref="CO62"/>
      <selection pane="bottomLeft" activeCell="CO62" sqref="CO62"/>
      <selection pane="bottomRight" activeCell="M20" sqref="M20"/>
    </sheetView>
  </sheetViews>
  <sheetFormatPr defaultRowHeight="15.75" x14ac:dyDescent="0.25"/>
  <cols>
    <col min="1" max="1" width="9.140625" style="2"/>
    <col min="2" max="2" width="16.5703125" style="2" customWidth="1"/>
    <col min="3" max="3" width="25.7109375" style="3" customWidth="1"/>
    <col min="4" max="8" width="13.7109375" style="4" customWidth="1"/>
    <col min="9" max="9" width="16.28515625" style="4" bestFit="1" customWidth="1"/>
    <col min="10" max="13" width="12.5703125" style="4" bestFit="1" customWidth="1"/>
    <col min="14" max="164" width="13.7109375" style="1" customWidth="1"/>
    <col min="165" max="16384" width="9.140625" style="1"/>
  </cols>
  <sheetData>
    <row r="1" spans="1:13" x14ac:dyDescent="0.25">
      <c r="A1" s="1"/>
      <c r="B1" s="1"/>
      <c r="C1" s="1"/>
      <c r="D1" s="113" t="s">
        <v>427</v>
      </c>
      <c r="E1" s="114"/>
      <c r="F1" s="114"/>
      <c r="G1" s="114"/>
      <c r="H1" s="114"/>
      <c r="I1" s="1"/>
      <c r="J1" s="1"/>
      <c r="K1" s="1"/>
      <c r="L1" s="1"/>
      <c r="M1" s="1"/>
    </row>
    <row r="2" spans="1:13" ht="47.25" x14ac:dyDescent="0.25">
      <c r="A2" s="115" t="s">
        <v>0</v>
      </c>
      <c r="B2" s="139" t="s">
        <v>599</v>
      </c>
      <c r="C2" s="140" t="s">
        <v>600</v>
      </c>
      <c r="D2" s="17" t="s">
        <v>2</v>
      </c>
      <c r="E2" s="24" t="s">
        <v>553</v>
      </c>
      <c r="F2" s="17" t="s">
        <v>3</v>
      </c>
      <c r="G2" s="17" t="s">
        <v>4</v>
      </c>
      <c r="H2" s="17" t="s">
        <v>5</v>
      </c>
      <c r="I2" s="1"/>
      <c r="J2" s="1"/>
      <c r="K2" s="1"/>
      <c r="L2" s="1"/>
      <c r="M2" s="1"/>
    </row>
    <row r="3" spans="1:13" x14ac:dyDescent="0.25">
      <c r="A3" s="115"/>
      <c r="B3" s="141"/>
      <c r="C3" s="142"/>
      <c r="D3" s="5" t="s">
        <v>6</v>
      </c>
      <c r="E3" s="5" t="s">
        <v>7</v>
      </c>
      <c r="F3" s="5" t="s">
        <v>7</v>
      </c>
      <c r="G3" s="5" t="s">
        <v>7</v>
      </c>
      <c r="H3" s="5" t="s">
        <v>7</v>
      </c>
      <c r="I3" s="1"/>
      <c r="J3" s="1"/>
      <c r="K3" s="1"/>
      <c r="L3" s="1"/>
      <c r="M3" s="1"/>
    </row>
    <row r="4" spans="1:13" x14ac:dyDescent="0.25">
      <c r="A4" s="9">
        <v>1</v>
      </c>
      <c r="B4" s="10" t="s">
        <v>32</v>
      </c>
      <c r="C4" s="21" t="s">
        <v>284</v>
      </c>
      <c r="D4" s="56">
        <v>0</v>
      </c>
      <c r="E4" s="56">
        <v>0</v>
      </c>
      <c r="F4" s="56">
        <v>571000</v>
      </c>
      <c r="G4" s="56">
        <v>0</v>
      </c>
      <c r="H4" s="56">
        <v>0</v>
      </c>
      <c r="I4" s="1"/>
      <c r="J4" s="1"/>
      <c r="K4" s="1"/>
      <c r="L4" s="1"/>
      <c r="M4" s="1"/>
    </row>
    <row r="5" spans="1:13" x14ac:dyDescent="0.25">
      <c r="A5" s="9">
        <f t="shared" ref="A5:A67" si="0">A4+1</f>
        <v>2</v>
      </c>
      <c r="B5" s="10" t="s">
        <v>32</v>
      </c>
      <c r="C5" s="21" t="s">
        <v>22</v>
      </c>
      <c r="D5" s="56">
        <v>0</v>
      </c>
      <c r="E5" s="56">
        <v>0</v>
      </c>
      <c r="F5" s="56">
        <v>550000</v>
      </c>
      <c r="G5" s="56">
        <v>0</v>
      </c>
      <c r="H5" s="56">
        <v>0</v>
      </c>
      <c r="I5" s="1"/>
      <c r="J5" s="1"/>
      <c r="K5" s="1"/>
      <c r="L5" s="1"/>
      <c r="M5" s="1"/>
    </row>
    <row r="6" spans="1:13" x14ac:dyDescent="0.25">
      <c r="A6" s="9">
        <f t="shared" si="0"/>
        <v>3</v>
      </c>
      <c r="B6" s="10" t="s">
        <v>32</v>
      </c>
      <c r="C6" s="21" t="s">
        <v>62</v>
      </c>
      <c r="D6" s="56">
        <v>0</v>
      </c>
      <c r="E6" s="56">
        <v>0</v>
      </c>
      <c r="F6" s="56">
        <v>612000</v>
      </c>
      <c r="G6" s="56">
        <v>0</v>
      </c>
      <c r="H6" s="56">
        <v>0</v>
      </c>
      <c r="I6" s="1"/>
      <c r="J6" s="1"/>
      <c r="K6" s="1"/>
      <c r="L6" s="1"/>
      <c r="M6" s="1"/>
    </row>
    <row r="7" spans="1:13" x14ac:dyDescent="0.25">
      <c r="A7" s="9">
        <f t="shared" si="0"/>
        <v>4</v>
      </c>
      <c r="B7" s="10" t="s">
        <v>20</v>
      </c>
      <c r="C7" s="21" t="s">
        <v>284</v>
      </c>
      <c r="D7" s="56">
        <v>0</v>
      </c>
      <c r="E7" s="56">
        <v>0</v>
      </c>
      <c r="F7" s="56">
        <v>378000</v>
      </c>
      <c r="G7" s="56">
        <v>0</v>
      </c>
      <c r="H7" s="56">
        <v>0</v>
      </c>
      <c r="I7" s="1"/>
      <c r="J7" s="1"/>
      <c r="K7" s="1"/>
      <c r="L7" s="1"/>
      <c r="M7" s="1"/>
    </row>
    <row r="8" spans="1:13" x14ac:dyDescent="0.25">
      <c r="A8" s="9">
        <f t="shared" si="0"/>
        <v>5</v>
      </c>
      <c r="B8" s="10" t="s">
        <v>20</v>
      </c>
      <c r="C8" s="21" t="s">
        <v>63</v>
      </c>
      <c r="D8" s="56">
        <v>0</v>
      </c>
      <c r="E8" s="56">
        <v>0</v>
      </c>
      <c r="F8" s="56">
        <v>408000</v>
      </c>
      <c r="G8" s="56">
        <v>0</v>
      </c>
      <c r="H8" s="56">
        <v>0</v>
      </c>
      <c r="I8" s="1"/>
      <c r="J8" s="1"/>
      <c r="K8" s="1"/>
      <c r="L8" s="1"/>
      <c r="M8" s="1"/>
    </row>
    <row r="9" spans="1:13" x14ac:dyDescent="0.25">
      <c r="A9" s="9">
        <f t="shared" si="0"/>
        <v>6</v>
      </c>
      <c r="B9" s="10" t="s">
        <v>20</v>
      </c>
      <c r="C9" s="21" t="s">
        <v>21</v>
      </c>
      <c r="D9" s="56">
        <v>0</v>
      </c>
      <c r="E9" s="56">
        <v>0</v>
      </c>
      <c r="F9" s="56">
        <v>408000</v>
      </c>
      <c r="G9" s="56">
        <v>0</v>
      </c>
      <c r="H9" s="56">
        <v>0</v>
      </c>
      <c r="I9" s="1"/>
      <c r="J9" s="1"/>
      <c r="K9" s="1"/>
      <c r="L9" s="1"/>
      <c r="M9" s="1"/>
    </row>
    <row r="10" spans="1:13" x14ac:dyDescent="0.25">
      <c r="A10" s="9">
        <f t="shared" si="0"/>
        <v>7</v>
      </c>
      <c r="B10" s="10" t="s">
        <v>20</v>
      </c>
      <c r="C10" s="21" t="s">
        <v>360</v>
      </c>
      <c r="D10" s="56">
        <v>0</v>
      </c>
      <c r="E10" s="56">
        <v>0</v>
      </c>
      <c r="F10" s="56">
        <v>408000</v>
      </c>
      <c r="G10" s="56">
        <v>378000</v>
      </c>
      <c r="H10" s="56">
        <v>360000</v>
      </c>
      <c r="I10" s="1"/>
      <c r="J10" s="1"/>
      <c r="K10" s="1"/>
      <c r="L10" s="1"/>
      <c r="M10" s="1"/>
    </row>
    <row r="11" spans="1:13" x14ac:dyDescent="0.25">
      <c r="A11" s="9">
        <f t="shared" si="0"/>
        <v>8</v>
      </c>
      <c r="B11" s="10" t="s">
        <v>20</v>
      </c>
      <c r="C11" s="21" t="s">
        <v>64</v>
      </c>
      <c r="D11" s="56">
        <v>0</v>
      </c>
      <c r="E11" s="56">
        <v>0</v>
      </c>
      <c r="F11" s="56">
        <v>449000</v>
      </c>
      <c r="G11" s="56">
        <v>387000</v>
      </c>
      <c r="H11" s="56">
        <v>326000</v>
      </c>
      <c r="I11" s="1"/>
      <c r="J11" s="1"/>
      <c r="K11" s="1"/>
      <c r="L11" s="1"/>
      <c r="M11" s="1"/>
    </row>
    <row r="12" spans="1:13" x14ac:dyDescent="0.25">
      <c r="A12" s="9">
        <f t="shared" si="0"/>
        <v>9</v>
      </c>
      <c r="B12" s="10" t="s">
        <v>15</v>
      </c>
      <c r="C12" s="21" t="s">
        <v>284</v>
      </c>
      <c r="D12" s="56">
        <v>0</v>
      </c>
      <c r="E12" s="56">
        <v>0</v>
      </c>
      <c r="F12" s="56">
        <v>1326000</v>
      </c>
      <c r="G12" s="56">
        <v>0</v>
      </c>
      <c r="H12" s="56">
        <v>1275000</v>
      </c>
      <c r="I12" s="1"/>
      <c r="J12" s="1"/>
      <c r="K12" s="1"/>
      <c r="L12" s="1"/>
      <c r="M12" s="1"/>
    </row>
    <row r="13" spans="1:13" x14ac:dyDescent="0.25">
      <c r="A13" s="9">
        <f t="shared" si="0"/>
        <v>10</v>
      </c>
      <c r="B13" s="10" t="s">
        <v>15</v>
      </c>
      <c r="C13" s="21" t="s">
        <v>406</v>
      </c>
      <c r="D13" s="56">
        <v>0</v>
      </c>
      <c r="E13" s="56">
        <v>0</v>
      </c>
      <c r="F13" s="56">
        <v>1306000</v>
      </c>
      <c r="G13" s="56">
        <v>1295000</v>
      </c>
      <c r="H13" s="56">
        <v>0</v>
      </c>
      <c r="I13" s="1"/>
      <c r="J13" s="1"/>
      <c r="K13" s="1"/>
      <c r="L13" s="1"/>
      <c r="M13" s="1"/>
    </row>
    <row r="14" spans="1:13" x14ac:dyDescent="0.25">
      <c r="A14" s="9">
        <f t="shared" si="0"/>
        <v>11</v>
      </c>
      <c r="B14" s="10" t="s">
        <v>120</v>
      </c>
      <c r="C14" s="21" t="s">
        <v>284</v>
      </c>
      <c r="D14" s="56">
        <v>0</v>
      </c>
      <c r="E14" s="56">
        <v>0</v>
      </c>
      <c r="F14" s="56">
        <v>816000</v>
      </c>
      <c r="G14" s="56">
        <v>795000</v>
      </c>
      <c r="H14" s="56">
        <v>0</v>
      </c>
      <c r="I14" s="1"/>
      <c r="J14" s="1"/>
      <c r="K14" s="1"/>
      <c r="L14" s="1"/>
      <c r="M14" s="1"/>
    </row>
    <row r="15" spans="1:13" x14ac:dyDescent="0.25">
      <c r="A15" s="9">
        <f t="shared" si="0"/>
        <v>12</v>
      </c>
      <c r="B15" s="10" t="s">
        <v>120</v>
      </c>
      <c r="C15" s="21" t="s">
        <v>66</v>
      </c>
      <c r="D15" s="56">
        <v>0</v>
      </c>
      <c r="E15" s="56">
        <v>0</v>
      </c>
      <c r="F15" s="56">
        <v>867000</v>
      </c>
      <c r="G15" s="56">
        <v>836000</v>
      </c>
      <c r="H15" s="56">
        <v>0</v>
      </c>
      <c r="I15" s="1"/>
      <c r="J15" s="1"/>
      <c r="K15" s="1"/>
      <c r="L15" s="1"/>
      <c r="M15" s="1"/>
    </row>
    <row r="16" spans="1:13" x14ac:dyDescent="0.25">
      <c r="A16" s="9">
        <f t="shared" si="0"/>
        <v>13</v>
      </c>
      <c r="B16" s="10" t="s">
        <v>120</v>
      </c>
      <c r="C16" s="21" t="s">
        <v>402</v>
      </c>
      <c r="D16" s="56">
        <v>0</v>
      </c>
      <c r="E16" s="56">
        <v>0</v>
      </c>
      <c r="F16" s="56">
        <v>918000</v>
      </c>
      <c r="G16" s="56">
        <v>898000</v>
      </c>
      <c r="H16" s="56">
        <v>0</v>
      </c>
      <c r="I16" s="1"/>
      <c r="J16" s="1"/>
      <c r="K16" s="1"/>
      <c r="L16" s="1"/>
      <c r="M16" s="1"/>
    </row>
    <row r="17" spans="1:13" x14ac:dyDescent="0.25">
      <c r="A17" s="9">
        <f t="shared" si="0"/>
        <v>14</v>
      </c>
      <c r="B17" s="10" t="s">
        <v>69</v>
      </c>
      <c r="C17" s="21" t="s">
        <v>10</v>
      </c>
      <c r="D17" s="56">
        <v>0</v>
      </c>
      <c r="E17" s="56">
        <v>0</v>
      </c>
      <c r="F17" s="56">
        <v>459000</v>
      </c>
      <c r="G17" s="56">
        <v>408000</v>
      </c>
      <c r="H17" s="56">
        <v>0</v>
      </c>
      <c r="I17" s="1"/>
      <c r="J17" s="1"/>
      <c r="K17" s="1"/>
      <c r="L17" s="1"/>
      <c r="M17" s="1"/>
    </row>
    <row r="18" spans="1:13" x14ac:dyDescent="0.25">
      <c r="A18" s="9">
        <f t="shared" si="0"/>
        <v>15</v>
      </c>
      <c r="B18" s="10" t="s">
        <v>69</v>
      </c>
      <c r="C18" s="21" t="s">
        <v>71</v>
      </c>
      <c r="D18" s="56">
        <v>1734000</v>
      </c>
      <c r="E18" s="56">
        <v>0</v>
      </c>
      <c r="F18" s="56">
        <v>342000</v>
      </c>
      <c r="G18" s="56">
        <v>280000</v>
      </c>
      <c r="H18" s="56">
        <v>0</v>
      </c>
      <c r="I18" s="1"/>
      <c r="J18" s="1"/>
      <c r="K18" s="1"/>
      <c r="L18" s="1"/>
      <c r="M18" s="1"/>
    </row>
    <row r="19" spans="1:13" x14ac:dyDescent="0.25">
      <c r="A19" s="9">
        <f t="shared" si="0"/>
        <v>16</v>
      </c>
      <c r="B19" s="10" t="s">
        <v>69</v>
      </c>
      <c r="C19" s="21" t="s">
        <v>72</v>
      </c>
      <c r="D19" s="56">
        <v>2040000</v>
      </c>
      <c r="E19" s="56">
        <v>0</v>
      </c>
      <c r="F19" s="56">
        <v>383000</v>
      </c>
      <c r="G19" s="56">
        <v>367000</v>
      </c>
      <c r="H19" s="56">
        <v>0</v>
      </c>
      <c r="I19" s="1"/>
      <c r="J19" s="1"/>
      <c r="K19" s="1"/>
      <c r="L19" s="1"/>
      <c r="M19" s="1"/>
    </row>
    <row r="20" spans="1:13" x14ac:dyDescent="0.25">
      <c r="A20" s="9">
        <f t="shared" si="0"/>
        <v>17</v>
      </c>
      <c r="B20" s="10" t="s">
        <v>69</v>
      </c>
      <c r="C20" s="21" t="s">
        <v>73</v>
      </c>
      <c r="D20" s="56">
        <v>1734000</v>
      </c>
      <c r="E20" s="56">
        <v>0</v>
      </c>
      <c r="F20" s="56">
        <v>342000</v>
      </c>
      <c r="G20" s="56">
        <v>280000</v>
      </c>
      <c r="H20" s="56">
        <v>0</v>
      </c>
      <c r="I20" s="1"/>
      <c r="J20" s="1"/>
      <c r="K20" s="1"/>
      <c r="L20" s="1"/>
      <c r="M20" s="1"/>
    </row>
    <row r="21" spans="1:13" x14ac:dyDescent="0.25">
      <c r="A21" s="9">
        <f t="shared" si="0"/>
        <v>18</v>
      </c>
      <c r="B21" s="10" t="s">
        <v>69</v>
      </c>
      <c r="C21" s="21" t="s">
        <v>74</v>
      </c>
      <c r="D21" s="56">
        <v>1173000</v>
      </c>
      <c r="E21" s="56">
        <v>0</v>
      </c>
      <c r="F21" s="56">
        <v>286000</v>
      </c>
      <c r="G21" s="56">
        <v>255000</v>
      </c>
      <c r="H21" s="56">
        <v>0</v>
      </c>
      <c r="I21" s="1"/>
      <c r="J21" s="1"/>
      <c r="K21" s="1"/>
      <c r="L21" s="1"/>
      <c r="M21" s="1"/>
    </row>
    <row r="22" spans="1:13" x14ac:dyDescent="0.25">
      <c r="A22" s="9">
        <f t="shared" si="0"/>
        <v>19</v>
      </c>
      <c r="B22" s="10" t="s">
        <v>69</v>
      </c>
      <c r="C22" s="21" t="s">
        <v>75</v>
      </c>
      <c r="D22" s="56">
        <v>1173000</v>
      </c>
      <c r="E22" s="56">
        <v>0</v>
      </c>
      <c r="F22" s="56">
        <v>286000</v>
      </c>
      <c r="G22" s="56">
        <v>255000</v>
      </c>
      <c r="H22" s="56">
        <v>0</v>
      </c>
      <c r="I22" s="1"/>
      <c r="J22" s="1"/>
      <c r="K22" s="1"/>
      <c r="L22" s="1"/>
      <c r="M22" s="1"/>
    </row>
    <row r="23" spans="1:13" x14ac:dyDescent="0.25">
      <c r="A23" s="9">
        <f t="shared" si="0"/>
        <v>20</v>
      </c>
      <c r="B23" s="10" t="s">
        <v>69</v>
      </c>
      <c r="C23" s="21" t="s">
        <v>76</v>
      </c>
      <c r="D23" s="56">
        <v>2040000</v>
      </c>
      <c r="E23" s="56">
        <v>0</v>
      </c>
      <c r="F23" s="56">
        <v>383000</v>
      </c>
      <c r="G23" s="56">
        <v>367000</v>
      </c>
      <c r="H23" s="56">
        <v>0</v>
      </c>
      <c r="I23" s="1"/>
      <c r="J23" s="1"/>
      <c r="K23" s="1"/>
      <c r="L23" s="1"/>
      <c r="M23" s="1"/>
    </row>
    <row r="24" spans="1:13" x14ac:dyDescent="0.25">
      <c r="A24" s="9">
        <f t="shared" si="0"/>
        <v>21</v>
      </c>
      <c r="B24" s="10" t="s">
        <v>69</v>
      </c>
      <c r="C24" s="21" t="s">
        <v>341</v>
      </c>
      <c r="D24" s="56">
        <v>1173000</v>
      </c>
      <c r="E24" s="56">
        <v>0</v>
      </c>
      <c r="F24" s="56">
        <v>286000</v>
      </c>
      <c r="G24" s="56">
        <v>255000</v>
      </c>
      <c r="H24" s="56">
        <v>0</v>
      </c>
      <c r="I24" s="1"/>
      <c r="J24" s="1"/>
      <c r="K24" s="1"/>
      <c r="L24" s="1"/>
      <c r="M24" s="1"/>
    </row>
    <row r="25" spans="1:13" x14ac:dyDescent="0.25">
      <c r="A25" s="9">
        <f t="shared" si="0"/>
        <v>22</v>
      </c>
      <c r="B25" s="10" t="s">
        <v>69</v>
      </c>
      <c r="C25" s="21" t="s">
        <v>77</v>
      </c>
      <c r="D25" s="56">
        <v>1173000</v>
      </c>
      <c r="E25" s="56">
        <v>0</v>
      </c>
      <c r="F25" s="56">
        <v>286000</v>
      </c>
      <c r="G25" s="56">
        <v>255000</v>
      </c>
      <c r="H25" s="56">
        <v>0</v>
      </c>
      <c r="I25" s="1"/>
      <c r="J25" s="1"/>
      <c r="K25" s="1"/>
      <c r="L25" s="1"/>
      <c r="M25" s="1"/>
    </row>
    <row r="26" spans="1:13" x14ac:dyDescent="0.25">
      <c r="A26" s="9">
        <f t="shared" si="0"/>
        <v>23</v>
      </c>
      <c r="B26" s="10" t="s">
        <v>69</v>
      </c>
      <c r="C26" s="21" t="s">
        <v>78</v>
      </c>
      <c r="D26" s="56">
        <v>2040000</v>
      </c>
      <c r="E26" s="56">
        <v>0</v>
      </c>
      <c r="F26" s="56">
        <v>383000</v>
      </c>
      <c r="G26" s="56">
        <v>367000</v>
      </c>
      <c r="H26" s="56">
        <v>0</v>
      </c>
      <c r="I26" s="1"/>
      <c r="J26" s="1"/>
      <c r="K26" s="1"/>
      <c r="L26" s="1"/>
      <c r="M26" s="1"/>
    </row>
    <row r="27" spans="1:13" x14ac:dyDescent="0.25">
      <c r="A27" s="9">
        <f t="shared" si="0"/>
        <v>24</v>
      </c>
      <c r="B27" s="10" t="s">
        <v>79</v>
      </c>
      <c r="C27" s="21" t="s">
        <v>104</v>
      </c>
      <c r="D27" s="56">
        <v>0</v>
      </c>
      <c r="E27" s="56">
        <v>0</v>
      </c>
      <c r="F27" s="56">
        <v>378000</v>
      </c>
      <c r="G27" s="56">
        <v>367000</v>
      </c>
      <c r="H27" s="56">
        <v>0</v>
      </c>
      <c r="I27" s="1"/>
      <c r="J27" s="1"/>
      <c r="K27" s="1"/>
      <c r="L27" s="1"/>
      <c r="M27" s="1"/>
    </row>
    <row r="28" spans="1:13" x14ac:dyDescent="0.25">
      <c r="A28" s="9">
        <f t="shared" si="0"/>
        <v>25</v>
      </c>
      <c r="B28" s="10" t="s">
        <v>79</v>
      </c>
      <c r="C28" s="21" t="s">
        <v>80</v>
      </c>
      <c r="D28" s="56">
        <v>0</v>
      </c>
      <c r="E28" s="56">
        <v>0</v>
      </c>
      <c r="F28" s="56">
        <v>383000</v>
      </c>
      <c r="G28" s="56">
        <v>337000</v>
      </c>
      <c r="H28" s="56">
        <v>0</v>
      </c>
      <c r="I28" s="1"/>
      <c r="J28" s="1"/>
      <c r="K28" s="1"/>
      <c r="L28" s="1"/>
      <c r="M28" s="1"/>
    </row>
    <row r="29" spans="1:13" x14ac:dyDescent="0.25">
      <c r="A29" s="9">
        <f t="shared" si="0"/>
        <v>26</v>
      </c>
      <c r="B29" s="10" t="s">
        <v>79</v>
      </c>
      <c r="C29" s="21" t="s">
        <v>105</v>
      </c>
      <c r="D29" s="56">
        <v>0</v>
      </c>
      <c r="E29" s="56">
        <v>0</v>
      </c>
      <c r="F29" s="56">
        <v>367000</v>
      </c>
      <c r="G29" s="56">
        <v>357000</v>
      </c>
      <c r="H29" s="56">
        <v>0</v>
      </c>
      <c r="I29" s="1"/>
      <c r="J29" s="1"/>
      <c r="K29" s="1"/>
      <c r="L29" s="1"/>
      <c r="M29" s="1"/>
    </row>
    <row r="30" spans="1:13" x14ac:dyDescent="0.25">
      <c r="A30" s="9">
        <f t="shared" si="0"/>
        <v>27</v>
      </c>
      <c r="B30" s="10" t="s">
        <v>79</v>
      </c>
      <c r="C30" s="21" t="s">
        <v>356</v>
      </c>
      <c r="D30" s="56">
        <v>0</v>
      </c>
      <c r="E30" s="56">
        <v>0</v>
      </c>
      <c r="F30" s="56">
        <v>357000</v>
      </c>
      <c r="G30" s="56">
        <v>316000</v>
      </c>
      <c r="H30" s="56">
        <v>0</v>
      </c>
      <c r="I30" s="1"/>
      <c r="J30" s="1"/>
      <c r="K30" s="1"/>
      <c r="L30" s="1"/>
      <c r="M30" s="1"/>
    </row>
    <row r="31" spans="1:13" x14ac:dyDescent="0.25">
      <c r="A31" s="9">
        <f t="shared" si="0"/>
        <v>28</v>
      </c>
      <c r="B31" s="10" t="s">
        <v>79</v>
      </c>
      <c r="C31" s="21" t="s">
        <v>355</v>
      </c>
      <c r="D31" s="56">
        <v>0</v>
      </c>
      <c r="E31" s="56">
        <v>0</v>
      </c>
      <c r="F31" s="56">
        <v>408000</v>
      </c>
      <c r="G31" s="56">
        <v>367000</v>
      </c>
      <c r="H31" s="56">
        <v>0</v>
      </c>
      <c r="I31" s="1"/>
      <c r="J31" s="1"/>
      <c r="K31" s="1"/>
      <c r="L31" s="1"/>
      <c r="M31" s="1"/>
    </row>
    <row r="32" spans="1:13" x14ac:dyDescent="0.25">
      <c r="A32" s="9">
        <f t="shared" si="0"/>
        <v>29</v>
      </c>
      <c r="B32" s="10" t="s">
        <v>83</v>
      </c>
      <c r="C32" s="21" t="s">
        <v>705</v>
      </c>
      <c r="D32" s="56">
        <v>0</v>
      </c>
      <c r="E32" s="56">
        <v>0</v>
      </c>
      <c r="F32" s="56">
        <v>1020000</v>
      </c>
      <c r="G32" s="56">
        <v>0</v>
      </c>
      <c r="H32" s="56">
        <v>0</v>
      </c>
      <c r="I32" s="1"/>
      <c r="J32" s="1"/>
      <c r="K32" s="1"/>
      <c r="L32" s="1"/>
      <c r="M32" s="1"/>
    </row>
    <row r="33" spans="1:13" x14ac:dyDescent="0.25">
      <c r="A33" s="9">
        <f t="shared" si="0"/>
        <v>30</v>
      </c>
      <c r="B33" s="10" t="s">
        <v>83</v>
      </c>
      <c r="C33" s="21" t="s">
        <v>88</v>
      </c>
      <c r="D33" s="56">
        <v>0</v>
      </c>
      <c r="E33" s="56">
        <v>0</v>
      </c>
      <c r="F33" s="56">
        <v>969000</v>
      </c>
      <c r="G33" s="56">
        <v>0</v>
      </c>
      <c r="H33" s="56">
        <v>0</v>
      </c>
      <c r="I33" s="1"/>
      <c r="J33" s="1"/>
      <c r="K33" s="1"/>
      <c r="L33" s="1"/>
      <c r="M33" s="1"/>
    </row>
    <row r="34" spans="1:13" x14ac:dyDescent="0.25">
      <c r="A34" s="9">
        <f t="shared" si="0"/>
        <v>31</v>
      </c>
      <c r="B34" s="10" t="s">
        <v>83</v>
      </c>
      <c r="C34" s="21" t="s">
        <v>460</v>
      </c>
      <c r="D34" s="56">
        <v>0</v>
      </c>
      <c r="E34" s="56">
        <v>0</v>
      </c>
      <c r="F34" s="56">
        <v>1122000</v>
      </c>
      <c r="G34" s="56">
        <v>0</v>
      </c>
      <c r="H34" s="56">
        <v>0</v>
      </c>
      <c r="I34" s="1"/>
      <c r="J34" s="1"/>
      <c r="K34" s="1"/>
      <c r="L34" s="1"/>
      <c r="M34" s="1"/>
    </row>
    <row r="35" spans="1:13" x14ac:dyDescent="0.25">
      <c r="A35" s="9">
        <f t="shared" si="0"/>
        <v>32</v>
      </c>
      <c r="B35" s="10" t="s">
        <v>83</v>
      </c>
      <c r="C35" s="21" t="s">
        <v>299</v>
      </c>
      <c r="D35" s="56">
        <v>0</v>
      </c>
      <c r="E35" s="56">
        <v>0</v>
      </c>
      <c r="F35" s="56">
        <v>1173000</v>
      </c>
      <c r="G35" s="56">
        <v>0</v>
      </c>
      <c r="H35" s="56">
        <v>0</v>
      </c>
      <c r="I35" s="1"/>
      <c r="J35" s="1"/>
      <c r="K35" s="1"/>
      <c r="L35" s="1"/>
      <c r="M35" s="1"/>
    </row>
    <row r="36" spans="1:13" x14ac:dyDescent="0.25">
      <c r="A36" s="9">
        <f t="shared" si="0"/>
        <v>33</v>
      </c>
      <c r="B36" s="10" t="s">
        <v>83</v>
      </c>
      <c r="C36" s="21" t="s">
        <v>86</v>
      </c>
      <c r="D36" s="56">
        <v>0</v>
      </c>
      <c r="E36" s="56">
        <v>0</v>
      </c>
      <c r="F36" s="56">
        <v>1020000</v>
      </c>
      <c r="G36" s="56">
        <v>0</v>
      </c>
      <c r="H36" s="56">
        <v>0</v>
      </c>
      <c r="I36" s="1"/>
      <c r="J36" s="1"/>
      <c r="K36" s="1"/>
      <c r="L36" s="1"/>
      <c r="M36" s="1"/>
    </row>
    <row r="37" spans="1:13" x14ac:dyDescent="0.25">
      <c r="A37" s="9">
        <f t="shared" si="0"/>
        <v>34</v>
      </c>
      <c r="B37" s="10" t="s">
        <v>83</v>
      </c>
      <c r="C37" s="21" t="s">
        <v>87</v>
      </c>
      <c r="D37" s="56">
        <v>0</v>
      </c>
      <c r="E37" s="56">
        <v>0</v>
      </c>
      <c r="F37" s="56">
        <v>1020000</v>
      </c>
      <c r="G37" s="56">
        <v>0</v>
      </c>
      <c r="H37" s="56">
        <v>0</v>
      </c>
      <c r="I37" s="1"/>
      <c r="J37" s="1"/>
      <c r="K37" s="1"/>
      <c r="L37" s="1"/>
      <c r="M37" s="1"/>
    </row>
    <row r="38" spans="1:13" x14ac:dyDescent="0.25">
      <c r="A38" s="9">
        <f t="shared" si="0"/>
        <v>35</v>
      </c>
      <c r="B38" s="10" t="s">
        <v>83</v>
      </c>
      <c r="C38" s="21" t="s">
        <v>48</v>
      </c>
      <c r="D38" s="56">
        <v>0</v>
      </c>
      <c r="E38" s="56">
        <v>0</v>
      </c>
      <c r="F38" s="56">
        <v>1071000</v>
      </c>
      <c r="G38" s="56">
        <v>0</v>
      </c>
      <c r="H38" s="56">
        <v>0</v>
      </c>
      <c r="I38" s="1"/>
      <c r="J38" s="1"/>
      <c r="K38" s="1"/>
      <c r="L38" s="1"/>
      <c r="M38" s="1"/>
    </row>
    <row r="39" spans="1:13" s="53" customFormat="1" x14ac:dyDescent="0.25">
      <c r="A39" s="52">
        <f t="shared" si="0"/>
        <v>36</v>
      </c>
      <c r="B39" s="83" t="s">
        <v>30</v>
      </c>
      <c r="C39" s="46" t="s">
        <v>284</v>
      </c>
      <c r="D39" s="57">
        <v>908000</v>
      </c>
      <c r="E39" s="57">
        <v>0</v>
      </c>
      <c r="F39" s="57">
        <v>265000</v>
      </c>
      <c r="G39" s="57">
        <v>245000</v>
      </c>
      <c r="H39" s="57">
        <v>224000</v>
      </c>
    </row>
    <row r="40" spans="1:13" x14ac:dyDescent="0.25">
      <c r="A40" s="9">
        <f t="shared" si="0"/>
        <v>37</v>
      </c>
      <c r="B40" s="10" t="s">
        <v>30</v>
      </c>
      <c r="C40" s="21" t="s">
        <v>46</v>
      </c>
      <c r="D40" s="56">
        <v>0</v>
      </c>
      <c r="E40" s="56">
        <v>0</v>
      </c>
      <c r="F40" s="56">
        <v>357000</v>
      </c>
      <c r="G40" s="56">
        <v>337000</v>
      </c>
      <c r="H40" s="56">
        <v>0</v>
      </c>
      <c r="I40" s="1"/>
      <c r="J40" s="1"/>
      <c r="K40" s="1"/>
      <c r="L40" s="1"/>
      <c r="M40" s="1"/>
    </row>
    <row r="41" spans="1:13" x14ac:dyDescent="0.25">
      <c r="A41" s="9">
        <f t="shared" si="0"/>
        <v>38</v>
      </c>
      <c r="B41" s="10" t="s">
        <v>30</v>
      </c>
      <c r="C41" s="21" t="s">
        <v>50</v>
      </c>
      <c r="D41" s="56">
        <v>1632000</v>
      </c>
      <c r="E41" s="56">
        <v>0</v>
      </c>
      <c r="F41" s="56">
        <v>346000</v>
      </c>
      <c r="G41" s="56">
        <v>316000</v>
      </c>
      <c r="H41" s="56">
        <v>0</v>
      </c>
      <c r="I41" s="1"/>
      <c r="J41" s="1"/>
      <c r="K41" s="1"/>
      <c r="L41" s="1"/>
      <c r="M41" s="1"/>
    </row>
    <row r="42" spans="1:13" x14ac:dyDescent="0.25">
      <c r="A42" s="9">
        <f t="shared" si="0"/>
        <v>39</v>
      </c>
      <c r="B42" s="10" t="s">
        <v>30</v>
      </c>
      <c r="C42" s="21" t="s">
        <v>51</v>
      </c>
      <c r="D42" s="56">
        <v>1347000</v>
      </c>
      <c r="E42" s="56">
        <v>0</v>
      </c>
      <c r="F42" s="56">
        <v>326000</v>
      </c>
      <c r="G42" s="56">
        <v>306000</v>
      </c>
      <c r="H42" s="56">
        <v>0</v>
      </c>
      <c r="I42" s="1"/>
      <c r="J42" s="1"/>
      <c r="K42" s="1"/>
      <c r="L42" s="1"/>
      <c r="M42" s="1"/>
    </row>
    <row r="43" spans="1:13" x14ac:dyDescent="0.25">
      <c r="A43" s="9">
        <f t="shared" si="0"/>
        <v>40</v>
      </c>
      <c r="B43" s="10" t="s">
        <v>30</v>
      </c>
      <c r="C43" s="21" t="s">
        <v>89</v>
      </c>
      <c r="D43" s="56">
        <v>1122000</v>
      </c>
      <c r="E43" s="56">
        <v>0</v>
      </c>
      <c r="F43" s="56">
        <v>286000</v>
      </c>
      <c r="G43" s="56">
        <v>270000</v>
      </c>
      <c r="H43" s="56">
        <v>0</v>
      </c>
      <c r="I43" s="1"/>
      <c r="J43" s="1"/>
      <c r="K43" s="1"/>
      <c r="L43" s="1"/>
      <c r="M43" s="1"/>
    </row>
    <row r="44" spans="1:13" x14ac:dyDescent="0.25">
      <c r="A44" s="9">
        <f t="shared" si="0"/>
        <v>41</v>
      </c>
      <c r="B44" s="10" t="s">
        <v>30</v>
      </c>
      <c r="C44" s="21" t="s">
        <v>52</v>
      </c>
      <c r="D44" s="56">
        <v>1632000</v>
      </c>
      <c r="E44" s="56">
        <v>0</v>
      </c>
      <c r="F44" s="56">
        <v>326000</v>
      </c>
      <c r="G44" s="56">
        <v>316000</v>
      </c>
      <c r="H44" s="56">
        <v>0</v>
      </c>
      <c r="I44" s="1"/>
      <c r="J44" s="1"/>
      <c r="K44" s="1"/>
      <c r="L44" s="1"/>
      <c r="M44" s="1"/>
    </row>
    <row r="45" spans="1:13" x14ac:dyDescent="0.25">
      <c r="A45" s="9">
        <f t="shared" si="0"/>
        <v>42</v>
      </c>
      <c r="B45" s="10" t="s">
        <v>30</v>
      </c>
      <c r="C45" s="21" t="s">
        <v>53</v>
      </c>
      <c r="D45" s="56">
        <v>1122000</v>
      </c>
      <c r="E45" s="56">
        <v>0</v>
      </c>
      <c r="F45" s="56">
        <v>286000</v>
      </c>
      <c r="G45" s="56">
        <v>265000</v>
      </c>
      <c r="H45" s="56">
        <v>0</v>
      </c>
      <c r="I45" s="1"/>
      <c r="J45" s="1"/>
      <c r="K45" s="1"/>
      <c r="L45" s="1"/>
      <c r="M45" s="1"/>
    </row>
    <row r="46" spans="1:13" x14ac:dyDescent="0.25">
      <c r="A46" s="9">
        <f t="shared" si="0"/>
        <v>43</v>
      </c>
      <c r="B46" s="10" t="s">
        <v>30</v>
      </c>
      <c r="C46" s="21" t="s">
        <v>464</v>
      </c>
      <c r="D46" s="56">
        <v>673000</v>
      </c>
      <c r="E46" s="56">
        <v>0</v>
      </c>
      <c r="F46" s="56">
        <v>153000</v>
      </c>
      <c r="G46" s="56">
        <v>142000</v>
      </c>
      <c r="H46" s="56">
        <v>133000</v>
      </c>
      <c r="I46" s="1"/>
      <c r="J46" s="1"/>
      <c r="K46" s="1"/>
      <c r="L46" s="1"/>
      <c r="M46" s="1"/>
    </row>
    <row r="47" spans="1:13" x14ac:dyDescent="0.25">
      <c r="A47" s="9">
        <f t="shared" si="0"/>
        <v>44</v>
      </c>
      <c r="B47" s="10" t="s">
        <v>30</v>
      </c>
      <c r="C47" s="21" t="s">
        <v>320</v>
      </c>
      <c r="D47" s="56">
        <v>1122000</v>
      </c>
      <c r="E47" s="56">
        <v>0</v>
      </c>
      <c r="F47" s="56">
        <v>322000</v>
      </c>
      <c r="G47" s="56">
        <v>0</v>
      </c>
      <c r="H47" s="56">
        <v>0</v>
      </c>
      <c r="I47" s="1"/>
      <c r="J47" s="1"/>
      <c r="K47" s="1"/>
      <c r="L47" s="1"/>
      <c r="M47" s="1"/>
    </row>
    <row r="48" spans="1:13" x14ac:dyDescent="0.25">
      <c r="A48" s="9">
        <f t="shared" si="0"/>
        <v>45</v>
      </c>
      <c r="B48" s="10" t="s">
        <v>30</v>
      </c>
      <c r="C48" s="21" t="s">
        <v>313</v>
      </c>
      <c r="D48" s="56">
        <v>1632000</v>
      </c>
      <c r="E48" s="56">
        <v>0</v>
      </c>
      <c r="F48" s="56">
        <v>346000</v>
      </c>
      <c r="G48" s="56">
        <v>0</v>
      </c>
      <c r="H48" s="56">
        <v>0</v>
      </c>
      <c r="I48" s="1"/>
      <c r="J48" s="1"/>
      <c r="K48" s="1"/>
      <c r="L48" s="1"/>
      <c r="M48" s="1"/>
    </row>
    <row r="49" spans="1:13" x14ac:dyDescent="0.25">
      <c r="A49" s="9">
        <f t="shared" si="0"/>
        <v>46</v>
      </c>
      <c r="B49" s="10" t="s">
        <v>30</v>
      </c>
      <c r="C49" s="21" t="s">
        <v>291</v>
      </c>
      <c r="D49" s="56">
        <v>0</v>
      </c>
      <c r="E49" s="56">
        <v>0</v>
      </c>
      <c r="F49" s="56">
        <v>0</v>
      </c>
      <c r="G49" s="56">
        <v>337000</v>
      </c>
      <c r="H49" s="56">
        <v>0</v>
      </c>
      <c r="I49" s="1"/>
      <c r="J49" s="1"/>
      <c r="K49" s="1"/>
      <c r="L49" s="1"/>
      <c r="M49" s="1"/>
    </row>
    <row r="50" spans="1:13" x14ac:dyDescent="0.25">
      <c r="A50" s="9">
        <f t="shared" si="0"/>
        <v>47</v>
      </c>
      <c r="B50" s="10" t="s">
        <v>30</v>
      </c>
      <c r="C50" s="21" t="s">
        <v>292</v>
      </c>
      <c r="D50" s="56">
        <v>0</v>
      </c>
      <c r="E50" s="56">
        <v>0</v>
      </c>
      <c r="F50" s="56">
        <v>357000</v>
      </c>
      <c r="G50" s="56">
        <v>0</v>
      </c>
      <c r="H50" s="56">
        <v>0</v>
      </c>
      <c r="I50" s="1"/>
      <c r="J50" s="1"/>
      <c r="K50" s="1"/>
      <c r="L50" s="1"/>
      <c r="M50" s="1"/>
    </row>
    <row r="51" spans="1:13" x14ac:dyDescent="0.25">
      <c r="A51" s="9">
        <f t="shared" si="0"/>
        <v>48</v>
      </c>
      <c r="B51" s="10" t="s">
        <v>30</v>
      </c>
      <c r="C51" s="21" t="s">
        <v>55</v>
      </c>
      <c r="D51" s="56">
        <v>1347000</v>
      </c>
      <c r="E51" s="56">
        <v>0</v>
      </c>
      <c r="F51" s="56">
        <v>326000</v>
      </c>
      <c r="G51" s="56">
        <v>306000</v>
      </c>
      <c r="H51" s="56">
        <v>0</v>
      </c>
      <c r="I51" s="1"/>
      <c r="J51" s="1"/>
      <c r="K51" s="1"/>
      <c r="L51" s="1"/>
      <c r="M51" s="1"/>
    </row>
    <row r="52" spans="1:13" x14ac:dyDescent="0.25">
      <c r="A52" s="9">
        <f t="shared" si="0"/>
        <v>49</v>
      </c>
      <c r="B52" s="10" t="s">
        <v>30</v>
      </c>
      <c r="C52" s="21" t="s">
        <v>56</v>
      </c>
      <c r="D52" s="56">
        <v>1122000</v>
      </c>
      <c r="E52" s="56">
        <v>0</v>
      </c>
      <c r="F52" s="56">
        <v>286000</v>
      </c>
      <c r="G52" s="56">
        <v>265000</v>
      </c>
      <c r="H52" s="56">
        <v>0</v>
      </c>
      <c r="I52" s="1"/>
      <c r="J52" s="1"/>
      <c r="K52" s="1"/>
      <c r="L52" s="1"/>
      <c r="M52" s="1"/>
    </row>
    <row r="53" spans="1:13" x14ac:dyDescent="0.25">
      <c r="A53" s="9">
        <f t="shared" si="0"/>
        <v>50</v>
      </c>
      <c r="B53" s="10" t="s">
        <v>30</v>
      </c>
      <c r="C53" s="21" t="s">
        <v>57</v>
      </c>
      <c r="D53" s="56">
        <v>1122000</v>
      </c>
      <c r="E53" s="56">
        <v>0</v>
      </c>
      <c r="F53" s="56">
        <v>286000</v>
      </c>
      <c r="G53" s="56">
        <v>265000</v>
      </c>
      <c r="H53" s="56">
        <v>0</v>
      </c>
      <c r="I53" s="1"/>
      <c r="J53" s="1"/>
      <c r="K53" s="1"/>
      <c r="L53" s="1"/>
      <c r="M53" s="1"/>
    </row>
    <row r="54" spans="1:13" x14ac:dyDescent="0.25">
      <c r="A54" s="9">
        <f t="shared" si="0"/>
        <v>51</v>
      </c>
      <c r="B54" s="10" t="s">
        <v>16</v>
      </c>
      <c r="C54" s="21" t="s">
        <v>284</v>
      </c>
      <c r="D54" s="56">
        <v>0</v>
      </c>
      <c r="E54" s="56">
        <v>0</v>
      </c>
      <c r="F54" s="56">
        <v>1581000</v>
      </c>
      <c r="G54" s="56">
        <v>1479000</v>
      </c>
      <c r="H54" s="56">
        <v>0</v>
      </c>
      <c r="I54" s="1"/>
      <c r="J54" s="1"/>
      <c r="K54" s="1"/>
      <c r="L54" s="1"/>
      <c r="M54" s="1"/>
    </row>
    <row r="55" spans="1:13" x14ac:dyDescent="0.25">
      <c r="A55" s="9">
        <f t="shared" si="0"/>
        <v>52</v>
      </c>
      <c r="B55" s="10" t="s">
        <v>33</v>
      </c>
      <c r="C55" s="21" t="s">
        <v>284</v>
      </c>
      <c r="D55" s="56">
        <v>0</v>
      </c>
      <c r="E55" s="56">
        <v>0</v>
      </c>
      <c r="F55" s="56">
        <v>694000</v>
      </c>
      <c r="G55" s="56">
        <v>663000</v>
      </c>
      <c r="H55" s="56">
        <v>0</v>
      </c>
      <c r="I55" s="1"/>
      <c r="J55" s="1"/>
      <c r="K55" s="1"/>
      <c r="L55" s="1"/>
      <c r="M55" s="1"/>
    </row>
    <row r="56" spans="1:13" x14ac:dyDescent="0.25">
      <c r="A56" s="9">
        <f t="shared" si="0"/>
        <v>53</v>
      </c>
      <c r="B56" s="10" t="s">
        <v>33</v>
      </c>
      <c r="C56" s="21" t="s">
        <v>372</v>
      </c>
      <c r="D56" s="56">
        <v>0</v>
      </c>
      <c r="E56" s="56">
        <v>0</v>
      </c>
      <c r="F56" s="56">
        <v>642000</v>
      </c>
      <c r="G56" s="56">
        <v>612000</v>
      </c>
      <c r="H56" s="56">
        <v>0</v>
      </c>
      <c r="I56" s="1"/>
      <c r="J56" s="1"/>
      <c r="K56" s="1"/>
      <c r="L56" s="1"/>
      <c r="M56" s="1"/>
    </row>
    <row r="57" spans="1:13" x14ac:dyDescent="0.25">
      <c r="A57" s="9">
        <f t="shared" si="0"/>
        <v>54</v>
      </c>
      <c r="B57" s="10" t="s">
        <v>33</v>
      </c>
      <c r="C57" s="21" t="s">
        <v>398</v>
      </c>
      <c r="D57" s="56">
        <v>0</v>
      </c>
      <c r="E57" s="56">
        <v>0</v>
      </c>
      <c r="F57" s="56">
        <v>612000</v>
      </c>
      <c r="G57" s="56">
        <v>582000</v>
      </c>
      <c r="H57" s="56">
        <v>0</v>
      </c>
      <c r="I57" s="1"/>
      <c r="J57" s="1"/>
      <c r="K57" s="1"/>
      <c r="L57" s="1"/>
      <c r="M57" s="1"/>
    </row>
    <row r="58" spans="1:13" x14ac:dyDescent="0.25">
      <c r="A58" s="9">
        <f t="shared" si="0"/>
        <v>55</v>
      </c>
      <c r="B58" s="10" t="s">
        <v>94</v>
      </c>
      <c r="C58" s="21" t="s">
        <v>59</v>
      </c>
      <c r="D58" s="56">
        <v>0</v>
      </c>
      <c r="E58" s="56">
        <v>0</v>
      </c>
      <c r="F58" s="56">
        <v>437000</v>
      </c>
      <c r="G58" s="56">
        <v>398000</v>
      </c>
      <c r="H58" s="56">
        <v>0</v>
      </c>
      <c r="I58" s="1"/>
      <c r="J58" s="1"/>
      <c r="K58" s="1"/>
      <c r="L58" s="1"/>
      <c r="M58" s="1"/>
    </row>
    <row r="59" spans="1:13" x14ac:dyDescent="0.25">
      <c r="A59" s="9">
        <f t="shared" si="0"/>
        <v>56</v>
      </c>
      <c r="B59" s="10" t="s">
        <v>94</v>
      </c>
      <c r="C59" s="21" t="s">
        <v>336</v>
      </c>
      <c r="D59" s="56">
        <v>0</v>
      </c>
      <c r="E59" s="56">
        <v>0</v>
      </c>
      <c r="F59" s="56">
        <v>765000</v>
      </c>
      <c r="G59" s="56">
        <v>754000</v>
      </c>
      <c r="H59" s="56">
        <v>0</v>
      </c>
      <c r="I59" s="1"/>
      <c r="J59" s="1"/>
      <c r="K59" s="1"/>
      <c r="L59" s="1"/>
      <c r="M59" s="1"/>
    </row>
    <row r="60" spans="1:13" x14ac:dyDescent="0.25">
      <c r="A60" s="9">
        <f t="shared" si="0"/>
        <v>57</v>
      </c>
      <c r="B60" s="10" t="s">
        <v>94</v>
      </c>
      <c r="C60" s="21" t="s">
        <v>95</v>
      </c>
      <c r="D60" s="56">
        <v>0</v>
      </c>
      <c r="E60" s="56">
        <v>0</v>
      </c>
      <c r="F60" s="56">
        <v>459000</v>
      </c>
      <c r="G60" s="56">
        <v>428000</v>
      </c>
      <c r="H60" s="56">
        <v>0</v>
      </c>
      <c r="I60" s="1"/>
      <c r="J60" s="1"/>
      <c r="K60" s="1"/>
      <c r="L60" s="1"/>
      <c r="M60" s="1"/>
    </row>
    <row r="61" spans="1:13" x14ac:dyDescent="0.25">
      <c r="A61" s="9">
        <f t="shared" si="0"/>
        <v>58</v>
      </c>
      <c r="B61" s="10" t="s">
        <v>94</v>
      </c>
      <c r="C61" s="21" t="s">
        <v>337</v>
      </c>
      <c r="D61" s="56">
        <v>0</v>
      </c>
      <c r="E61" s="56">
        <v>0</v>
      </c>
      <c r="F61" s="56">
        <v>795000</v>
      </c>
      <c r="G61" s="56">
        <v>775000</v>
      </c>
      <c r="H61" s="56">
        <v>0</v>
      </c>
      <c r="I61" s="1"/>
      <c r="J61" s="1"/>
      <c r="K61" s="1"/>
      <c r="L61" s="1"/>
      <c r="M61" s="1"/>
    </row>
    <row r="62" spans="1:13" x14ac:dyDescent="0.25">
      <c r="A62" s="9">
        <f t="shared" si="0"/>
        <v>59</v>
      </c>
      <c r="B62" s="10" t="s">
        <v>94</v>
      </c>
      <c r="C62" s="21" t="s">
        <v>97</v>
      </c>
      <c r="D62" s="56">
        <v>0</v>
      </c>
      <c r="E62" s="56">
        <v>0</v>
      </c>
      <c r="F62" s="56">
        <v>550000</v>
      </c>
      <c r="G62" s="56">
        <v>510000</v>
      </c>
      <c r="H62" s="56">
        <v>0</v>
      </c>
      <c r="I62" s="1"/>
      <c r="J62" s="1"/>
      <c r="K62" s="1"/>
      <c r="L62" s="1"/>
      <c r="M62" s="1"/>
    </row>
    <row r="63" spans="1:13" x14ac:dyDescent="0.25">
      <c r="A63" s="9">
        <f t="shared" si="0"/>
        <v>60</v>
      </c>
      <c r="B63" s="10" t="s">
        <v>94</v>
      </c>
      <c r="C63" s="48" t="s">
        <v>328</v>
      </c>
      <c r="D63" s="56">
        <v>0</v>
      </c>
      <c r="E63" s="56">
        <v>0</v>
      </c>
      <c r="F63" s="56">
        <v>449000</v>
      </c>
      <c r="G63" s="56">
        <v>408000</v>
      </c>
      <c r="H63" s="56">
        <v>0</v>
      </c>
      <c r="I63" s="1"/>
      <c r="J63" s="1"/>
      <c r="K63" s="1"/>
      <c r="L63" s="1"/>
      <c r="M63" s="1"/>
    </row>
    <row r="64" spans="1:13" x14ac:dyDescent="0.25">
      <c r="A64" s="9">
        <f t="shared" si="0"/>
        <v>61</v>
      </c>
      <c r="B64" s="10" t="s">
        <v>94</v>
      </c>
      <c r="C64" s="21" t="s">
        <v>462</v>
      </c>
      <c r="D64" s="56">
        <v>0</v>
      </c>
      <c r="E64" s="56">
        <v>0</v>
      </c>
      <c r="F64" s="56">
        <v>582000</v>
      </c>
      <c r="G64" s="56">
        <v>530000</v>
      </c>
      <c r="H64" s="56">
        <v>0</v>
      </c>
      <c r="I64" s="1"/>
      <c r="J64" s="1"/>
      <c r="K64" s="1"/>
      <c r="L64" s="1"/>
      <c r="M64" s="1"/>
    </row>
    <row r="65" spans="1:13" x14ac:dyDescent="0.25">
      <c r="A65" s="9">
        <f t="shared" si="0"/>
        <v>62</v>
      </c>
      <c r="B65" s="10" t="s">
        <v>94</v>
      </c>
      <c r="C65" s="46" t="s">
        <v>332</v>
      </c>
      <c r="D65" s="57">
        <v>0</v>
      </c>
      <c r="E65" s="57">
        <v>0</v>
      </c>
      <c r="F65" s="57">
        <v>530000</v>
      </c>
      <c r="G65" s="57">
        <v>490000</v>
      </c>
      <c r="H65" s="57">
        <v>0</v>
      </c>
      <c r="I65" s="1"/>
      <c r="J65" s="1"/>
      <c r="K65" s="1"/>
      <c r="L65" s="1"/>
      <c r="M65" s="1"/>
    </row>
    <row r="66" spans="1:13" x14ac:dyDescent="0.25">
      <c r="A66" s="9">
        <f t="shared" si="0"/>
        <v>63</v>
      </c>
      <c r="B66" s="10" t="s">
        <v>13</v>
      </c>
      <c r="C66" s="21" t="s">
        <v>284</v>
      </c>
      <c r="D66" s="56">
        <v>0</v>
      </c>
      <c r="E66" s="56">
        <v>0</v>
      </c>
      <c r="F66" s="56">
        <v>1275000</v>
      </c>
      <c r="G66" s="56">
        <v>1265000</v>
      </c>
      <c r="H66" s="56">
        <v>0</v>
      </c>
      <c r="I66" s="1"/>
      <c r="J66" s="1"/>
      <c r="K66" s="1"/>
      <c r="L66" s="1"/>
      <c r="M66" s="1"/>
    </row>
    <row r="67" spans="1:13" x14ac:dyDescent="0.25">
      <c r="A67" s="9">
        <f t="shared" si="0"/>
        <v>64</v>
      </c>
      <c r="B67" s="10" t="s">
        <v>13</v>
      </c>
      <c r="C67" s="21" t="s">
        <v>465</v>
      </c>
      <c r="D67" s="56">
        <v>0</v>
      </c>
      <c r="E67" s="56">
        <v>0</v>
      </c>
      <c r="F67" s="56">
        <v>1122000</v>
      </c>
      <c r="G67" s="56">
        <v>1112000</v>
      </c>
      <c r="H67" s="56">
        <v>0</v>
      </c>
      <c r="I67" s="1"/>
      <c r="J67" s="1"/>
      <c r="K67" s="1"/>
      <c r="L67" s="1"/>
      <c r="M67" s="1"/>
    </row>
    <row r="68" spans="1:13" x14ac:dyDescent="0.25">
      <c r="A68" s="9">
        <f t="shared" ref="A68:A80" si="1">A67+1</f>
        <v>65</v>
      </c>
      <c r="B68" s="22" t="s">
        <v>17</v>
      </c>
      <c r="C68" s="50" t="s">
        <v>284</v>
      </c>
      <c r="D68" s="58">
        <v>0</v>
      </c>
      <c r="E68" s="58">
        <v>0</v>
      </c>
      <c r="F68" s="58">
        <v>1632000</v>
      </c>
      <c r="G68" s="58">
        <v>1581000</v>
      </c>
      <c r="H68" s="58">
        <v>0</v>
      </c>
      <c r="I68" s="1"/>
      <c r="J68" s="1"/>
      <c r="K68" s="1"/>
      <c r="L68" s="1"/>
      <c r="M68" s="1"/>
    </row>
    <row r="69" spans="1:13" x14ac:dyDescent="0.25">
      <c r="A69" s="9">
        <f t="shared" si="1"/>
        <v>66</v>
      </c>
      <c r="B69" s="22" t="s">
        <v>9</v>
      </c>
      <c r="C69" s="50" t="s">
        <v>284</v>
      </c>
      <c r="D69" s="58">
        <v>0</v>
      </c>
      <c r="E69" s="58">
        <v>0</v>
      </c>
      <c r="F69" s="58">
        <v>387000</v>
      </c>
      <c r="G69" s="58">
        <v>378000</v>
      </c>
      <c r="H69" s="58">
        <v>0</v>
      </c>
      <c r="I69" s="1"/>
      <c r="J69" s="1"/>
      <c r="K69" s="1"/>
      <c r="L69" s="1"/>
      <c r="M69" s="1"/>
    </row>
    <row r="70" spans="1:13" x14ac:dyDescent="0.25">
      <c r="A70" s="9">
        <f t="shared" si="1"/>
        <v>67</v>
      </c>
      <c r="B70" s="22" t="s">
        <v>9</v>
      </c>
      <c r="C70" s="50" t="s">
        <v>466</v>
      </c>
      <c r="D70" s="58">
        <v>1173000</v>
      </c>
      <c r="E70" s="58">
        <v>0</v>
      </c>
      <c r="F70" s="58">
        <v>286000</v>
      </c>
      <c r="G70" s="58">
        <v>265000</v>
      </c>
      <c r="H70" s="58">
        <v>0</v>
      </c>
      <c r="I70" s="1"/>
      <c r="J70" s="1"/>
      <c r="K70" s="1"/>
      <c r="L70" s="1"/>
      <c r="M70" s="1"/>
    </row>
    <row r="71" spans="1:13" x14ac:dyDescent="0.25">
      <c r="A71" s="9">
        <f t="shared" si="1"/>
        <v>68</v>
      </c>
      <c r="B71" s="22" t="s">
        <v>9</v>
      </c>
      <c r="C71" s="50" t="s">
        <v>98</v>
      </c>
      <c r="D71" s="58">
        <v>734000</v>
      </c>
      <c r="E71" s="58">
        <v>0</v>
      </c>
      <c r="F71" s="58">
        <v>255000</v>
      </c>
      <c r="G71" s="58">
        <v>245000</v>
      </c>
      <c r="H71" s="58">
        <v>0</v>
      </c>
      <c r="I71" s="1"/>
      <c r="J71" s="1"/>
      <c r="K71" s="1"/>
      <c r="L71" s="1"/>
      <c r="M71" s="1"/>
    </row>
    <row r="72" spans="1:13" x14ac:dyDescent="0.25">
      <c r="A72" s="9">
        <f t="shared" si="1"/>
        <v>69</v>
      </c>
      <c r="B72" s="22" t="s">
        <v>9</v>
      </c>
      <c r="C72" s="50" t="s">
        <v>100</v>
      </c>
      <c r="D72" s="58">
        <v>0</v>
      </c>
      <c r="E72" s="58">
        <v>0</v>
      </c>
      <c r="F72" s="58">
        <v>387000</v>
      </c>
      <c r="G72" s="58">
        <v>378000</v>
      </c>
      <c r="H72" s="58">
        <v>0</v>
      </c>
      <c r="I72" s="1"/>
      <c r="J72" s="1"/>
      <c r="K72" s="1"/>
      <c r="L72" s="1"/>
      <c r="M72" s="1"/>
    </row>
    <row r="73" spans="1:13" x14ac:dyDescent="0.25">
      <c r="A73" s="9">
        <f t="shared" si="1"/>
        <v>70</v>
      </c>
      <c r="B73" s="22" t="s">
        <v>9</v>
      </c>
      <c r="C73" s="50" t="s">
        <v>101</v>
      </c>
      <c r="D73" s="58">
        <v>0</v>
      </c>
      <c r="E73" s="58">
        <v>0</v>
      </c>
      <c r="F73" s="58">
        <v>387000</v>
      </c>
      <c r="G73" s="58">
        <v>0</v>
      </c>
      <c r="H73" s="58">
        <v>0</v>
      </c>
      <c r="I73" s="1"/>
      <c r="J73" s="1"/>
      <c r="K73" s="1"/>
      <c r="L73" s="1"/>
      <c r="M73" s="1"/>
    </row>
    <row r="74" spans="1:13" x14ac:dyDescent="0.25">
      <c r="A74" s="9">
        <f t="shared" si="1"/>
        <v>71</v>
      </c>
      <c r="B74" s="22" t="s">
        <v>9</v>
      </c>
      <c r="C74" s="50" t="s">
        <v>8</v>
      </c>
      <c r="D74" s="58">
        <v>1173000</v>
      </c>
      <c r="E74" s="58">
        <v>0</v>
      </c>
      <c r="F74" s="58">
        <v>286000</v>
      </c>
      <c r="G74" s="58">
        <v>265000</v>
      </c>
      <c r="H74" s="58">
        <v>255000</v>
      </c>
      <c r="I74" s="1"/>
      <c r="J74" s="1"/>
      <c r="K74" s="1"/>
      <c r="L74" s="1"/>
      <c r="M74" s="1"/>
    </row>
    <row r="75" spans="1:13" x14ac:dyDescent="0.25">
      <c r="A75" s="9">
        <f t="shared" si="1"/>
        <v>72</v>
      </c>
      <c r="B75" s="22" t="s">
        <v>9</v>
      </c>
      <c r="C75" s="50" t="s">
        <v>99</v>
      </c>
      <c r="D75" s="58">
        <v>1428000</v>
      </c>
      <c r="E75" s="58">
        <v>0</v>
      </c>
      <c r="F75" s="58">
        <v>367000</v>
      </c>
      <c r="G75" s="58">
        <v>306000</v>
      </c>
      <c r="H75" s="58">
        <v>286000</v>
      </c>
      <c r="I75" s="1"/>
      <c r="J75" s="1"/>
      <c r="K75" s="1"/>
      <c r="L75" s="1"/>
      <c r="M75" s="1"/>
    </row>
    <row r="76" spans="1:13" x14ac:dyDescent="0.25">
      <c r="A76" s="9">
        <f t="shared" si="1"/>
        <v>73</v>
      </c>
      <c r="B76" s="22" t="s">
        <v>9</v>
      </c>
      <c r="C76" s="50" t="s">
        <v>102</v>
      </c>
      <c r="D76" s="58">
        <v>0</v>
      </c>
      <c r="E76" s="58">
        <v>0</v>
      </c>
      <c r="F76" s="58">
        <v>387000</v>
      </c>
      <c r="G76" s="58">
        <v>378000</v>
      </c>
      <c r="H76" s="58">
        <v>0</v>
      </c>
      <c r="I76" s="1"/>
      <c r="J76" s="1"/>
      <c r="K76" s="1"/>
      <c r="L76" s="1"/>
      <c r="M76" s="1"/>
    </row>
    <row r="77" spans="1:13" x14ac:dyDescent="0.25">
      <c r="A77" s="9">
        <f t="shared" si="1"/>
        <v>74</v>
      </c>
      <c r="B77" s="22" t="s">
        <v>19</v>
      </c>
      <c r="C77" s="50" t="s">
        <v>284</v>
      </c>
      <c r="D77" s="58">
        <v>0</v>
      </c>
      <c r="E77" s="58">
        <v>0</v>
      </c>
      <c r="F77" s="58">
        <v>387000</v>
      </c>
      <c r="G77" s="58">
        <v>367000</v>
      </c>
      <c r="H77" s="58">
        <v>0</v>
      </c>
      <c r="I77" s="1"/>
      <c r="J77" s="1"/>
      <c r="K77" s="1"/>
      <c r="L77" s="1"/>
      <c r="M77" s="1"/>
    </row>
    <row r="78" spans="1:13" x14ac:dyDescent="0.25">
      <c r="A78" s="9">
        <f t="shared" si="1"/>
        <v>75</v>
      </c>
      <c r="B78" s="22" t="s">
        <v>19</v>
      </c>
      <c r="C78" s="50" t="s">
        <v>294</v>
      </c>
      <c r="D78" s="58">
        <v>0</v>
      </c>
      <c r="E78" s="58">
        <v>0</v>
      </c>
      <c r="F78" s="58">
        <v>357000</v>
      </c>
      <c r="G78" s="58">
        <v>0</v>
      </c>
      <c r="H78" s="58">
        <v>0</v>
      </c>
      <c r="I78" s="1"/>
      <c r="J78" s="1"/>
      <c r="K78" s="1"/>
      <c r="L78" s="1"/>
      <c r="M78" s="1"/>
    </row>
    <row r="79" spans="1:13" x14ac:dyDescent="0.25">
      <c r="A79" s="9">
        <f t="shared" si="1"/>
        <v>76</v>
      </c>
      <c r="B79" s="22" t="s">
        <v>19</v>
      </c>
      <c r="C79" s="50" t="s">
        <v>35</v>
      </c>
      <c r="D79" s="58">
        <v>0</v>
      </c>
      <c r="E79" s="58">
        <v>0</v>
      </c>
      <c r="F79" s="58">
        <v>438000</v>
      </c>
      <c r="G79" s="58">
        <v>428000</v>
      </c>
      <c r="H79" s="58">
        <v>0</v>
      </c>
      <c r="I79" s="1"/>
      <c r="J79" s="1"/>
      <c r="K79" s="1"/>
      <c r="L79" s="1"/>
      <c r="M79" s="1"/>
    </row>
    <row r="80" spans="1:13" x14ac:dyDescent="0.25">
      <c r="A80" s="12">
        <f t="shared" si="1"/>
        <v>77</v>
      </c>
      <c r="B80" s="13" t="s">
        <v>30</v>
      </c>
      <c r="C80" s="16" t="s">
        <v>464</v>
      </c>
      <c r="D80" s="59">
        <v>0</v>
      </c>
      <c r="E80" s="59">
        <v>215000</v>
      </c>
      <c r="F80" s="59">
        <v>0</v>
      </c>
      <c r="G80" s="59">
        <v>0</v>
      </c>
      <c r="H80" s="59">
        <v>0</v>
      </c>
      <c r="I80" s="1"/>
      <c r="J80" s="1"/>
      <c r="K80" s="1"/>
      <c r="L80" s="1"/>
      <c r="M80" s="1"/>
    </row>
  </sheetData>
  <autoFilter ref="A3:M80" xr:uid="{00000000-0009-0000-0000-000008000000}">
    <filterColumn colId="1" showButton="0"/>
  </autoFilter>
  <mergeCells count="2">
    <mergeCell ref="D1:H1"/>
    <mergeCell ref="A2: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4067B-D52D-4799-AEDC-DE81E5469BA7}">
  <sheetPr>
    <tabColor rgb="FF7030A0"/>
  </sheetPr>
  <dimension ref="A4:G27"/>
  <sheetViews>
    <sheetView workbookViewId="0">
      <selection activeCell="D23" sqref="D23"/>
    </sheetView>
  </sheetViews>
  <sheetFormatPr defaultRowHeight="15" x14ac:dyDescent="0.25"/>
  <cols>
    <col min="2" max="2" width="41.85546875" customWidth="1"/>
    <col min="3" max="3" width="15.85546875" customWidth="1"/>
    <col min="4" max="5" width="18.7109375" customWidth="1"/>
  </cols>
  <sheetData>
    <row r="4" spans="1:4" ht="15.75" thickBot="1" x14ac:dyDescent="0.3">
      <c r="B4" s="90" t="s">
        <v>514</v>
      </c>
    </row>
    <row r="5" spans="1:4" ht="17.25" thickTop="1" thickBot="1" x14ac:dyDescent="0.3">
      <c r="A5" s="1"/>
      <c r="B5" s="1"/>
      <c r="C5" s="2"/>
      <c r="D5" s="39">
        <v>46023</v>
      </c>
    </row>
    <row r="6" spans="1:4" ht="16.5" thickTop="1" x14ac:dyDescent="0.25">
      <c r="A6" s="5" t="s">
        <v>0</v>
      </c>
      <c r="B6" s="5" t="s">
        <v>110</v>
      </c>
      <c r="C6" s="5" t="s">
        <v>200</v>
      </c>
      <c r="D6" s="5" t="s">
        <v>199</v>
      </c>
    </row>
    <row r="7" spans="1:4" ht="15.75" x14ac:dyDescent="0.25">
      <c r="A7" s="6">
        <v>1</v>
      </c>
      <c r="B7" s="92" t="s">
        <v>485</v>
      </c>
      <c r="C7" s="28" t="s">
        <v>202</v>
      </c>
      <c r="D7" s="8">
        <v>700000</v>
      </c>
    </row>
    <row r="8" spans="1:4" ht="15.75" x14ac:dyDescent="0.25">
      <c r="A8" s="9">
        <f t="shared" ref="A8:A13" si="0">A7+1</f>
        <v>2</v>
      </c>
      <c r="B8" s="92" t="s">
        <v>486</v>
      </c>
      <c r="C8" s="29" t="s">
        <v>202</v>
      </c>
      <c r="D8" s="11">
        <v>800000</v>
      </c>
    </row>
    <row r="9" spans="1:4" ht="15.75" x14ac:dyDescent="0.25">
      <c r="A9" s="9">
        <f t="shared" si="0"/>
        <v>3</v>
      </c>
      <c r="B9" s="92" t="s">
        <v>487</v>
      </c>
      <c r="C9" s="29" t="s">
        <v>202</v>
      </c>
      <c r="D9" s="11">
        <v>900000</v>
      </c>
    </row>
    <row r="10" spans="1:4" ht="15.75" x14ac:dyDescent="0.25">
      <c r="A10" s="9">
        <f t="shared" si="0"/>
        <v>4</v>
      </c>
      <c r="B10" s="92" t="s">
        <v>488</v>
      </c>
      <c r="C10" s="29" t="s">
        <v>202</v>
      </c>
      <c r="D10" s="11">
        <v>1000000</v>
      </c>
    </row>
    <row r="11" spans="1:4" ht="15.75" x14ac:dyDescent="0.25">
      <c r="A11" s="9">
        <f t="shared" si="0"/>
        <v>5</v>
      </c>
      <c r="B11" s="92" t="s">
        <v>489</v>
      </c>
      <c r="C11" s="29" t="s">
        <v>202</v>
      </c>
      <c r="D11" s="11">
        <v>1100000</v>
      </c>
    </row>
    <row r="12" spans="1:4" ht="15.75" x14ac:dyDescent="0.25">
      <c r="A12" s="9">
        <f t="shared" si="0"/>
        <v>6</v>
      </c>
      <c r="B12" s="92" t="s">
        <v>490</v>
      </c>
      <c r="C12" s="29" t="s">
        <v>202</v>
      </c>
      <c r="D12" s="11">
        <v>1200000</v>
      </c>
    </row>
    <row r="13" spans="1:4" ht="15.75" x14ac:dyDescent="0.25">
      <c r="A13" s="12">
        <f t="shared" si="0"/>
        <v>7</v>
      </c>
      <c r="B13" s="92" t="s">
        <v>491</v>
      </c>
      <c r="C13" s="30" t="s">
        <v>202</v>
      </c>
      <c r="D13" s="14">
        <v>1300000</v>
      </c>
    </row>
    <row r="16" spans="1:4" ht="16.5" thickBot="1" x14ac:dyDescent="0.3">
      <c r="B16" s="91" t="s">
        <v>515</v>
      </c>
    </row>
    <row r="17" spans="1:7" ht="17.25" thickTop="1" thickBot="1" x14ac:dyDescent="0.3">
      <c r="D17" s="39">
        <v>46023</v>
      </c>
    </row>
    <row r="18" spans="1:7" ht="16.5" thickTop="1" x14ac:dyDescent="0.25">
      <c r="A18" s="5" t="s">
        <v>0</v>
      </c>
      <c r="B18" s="5" t="s">
        <v>110</v>
      </c>
      <c r="C18" s="5" t="s">
        <v>200</v>
      </c>
      <c r="D18" s="5" t="s">
        <v>199</v>
      </c>
    </row>
    <row r="19" spans="1:7" ht="15.75" x14ac:dyDescent="0.25">
      <c r="A19" s="9">
        <v>1</v>
      </c>
      <c r="B19" s="92" t="s">
        <v>486</v>
      </c>
      <c r="C19" s="29" t="s">
        <v>202</v>
      </c>
      <c r="D19" s="11">
        <v>950000</v>
      </c>
      <c r="G19" s="94"/>
    </row>
    <row r="20" spans="1:7" ht="15.75" x14ac:dyDescent="0.25">
      <c r="A20" s="9">
        <v>2</v>
      </c>
      <c r="B20" s="92" t="s">
        <v>487</v>
      </c>
      <c r="C20" s="29" t="s">
        <v>202</v>
      </c>
      <c r="D20" s="11">
        <v>1000000</v>
      </c>
      <c r="G20" s="94"/>
    </row>
    <row r="21" spans="1:7" ht="15.75" x14ac:dyDescent="0.25">
      <c r="A21" s="9">
        <v>3</v>
      </c>
      <c r="B21" s="92" t="s">
        <v>488</v>
      </c>
      <c r="C21" s="29" t="s">
        <v>202</v>
      </c>
      <c r="D21" s="11">
        <v>1100000</v>
      </c>
      <c r="G21" s="94"/>
    </row>
    <row r="22" spans="1:7" ht="15.75" x14ac:dyDescent="0.25">
      <c r="A22" s="9">
        <v>4</v>
      </c>
      <c r="B22" s="92" t="s">
        <v>489</v>
      </c>
      <c r="C22" s="29" t="s">
        <v>202</v>
      </c>
      <c r="D22" s="11">
        <v>1150000</v>
      </c>
      <c r="G22" s="94"/>
    </row>
    <row r="23" spans="1:7" ht="15.75" x14ac:dyDescent="0.25">
      <c r="A23" s="9">
        <v>5</v>
      </c>
      <c r="B23" s="92" t="s">
        <v>490</v>
      </c>
      <c r="C23" s="29" t="s">
        <v>202</v>
      </c>
      <c r="D23" s="11">
        <v>1200000</v>
      </c>
      <c r="G23" s="94"/>
    </row>
    <row r="24" spans="1:7" ht="15.75" x14ac:dyDescent="0.25">
      <c r="A24" s="9">
        <v>6</v>
      </c>
      <c r="B24" s="92" t="s">
        <v>491</v>
      </c>
      <c r="C24" s="29" t="s">
        <v>202</v>
      </c>
      <c r="D24" s="11">
        <v>1250000</v>
      </c>
      <c r="G24" s="94"/>
    </row>
    <row r="25" spans="1:7" ht="15.75" x14ac:dyDescent="0.25">
      <c r="A25" s="9">
        <v>7</v>
      </c>
      <c r="B25" s="92" t="s">
        <v>511</v>
      </c>
      <c r="C25" s="29" t="s">
        <v>202</v>
      </c>
      <c r="D25" s="11">
        <v>1300000</v>
      </c>
      <c r="G25" s="94"/>
    </row>
    <row r="26" spans="1:7" ht="15.75" x14ac:dyDescent="0.25">
      <c r="A26" s="9">
        <v>8</v>
      </c>
      <c r="B26" s="92" t="s">
        <v>512</v>
      </c>
      <c r="C26" s="29" t="s">
        <v>202</v>
      </c>
      <c r="D26" s="11">
        <v>1400000</v>
      </c>
      <c r="G26" s="94"/>
    </row>
    <row r="27" spans="1:7" ht="15.75" x14ac:dyDescent="0.25">
      <c r="A27" s="12">
        <v>9</v>
      </c>
      <c r="B27" s="93" t="s">
        <v>513</v>
      </c>
      <c r="C27" s="30" t="s">
        <v>202</v>
      </c>
      <c r="D27" s="14">
        <v>1500000</v>
      </c>
      <c r="G27" s="9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82"/>
  <sheetViews>
    <sheetView showZeros="0" workbookViewId="0">
      <pane xSplit="3" ySplit="3" topLeftCell="G4" activePane="bottomRight" state="frozen"/>
      <selection pane="topRight" activeCell="D1" sqref="D1"/>
      <selection pane="bottomLeft" activeCell="A4" sqref="A4"/>
      <selection pane="bottomRight" activeCell="AC11" sqref="AC11"/>
    </sheetView>
  </sheetViews>
  <sheetFormatPr defaultRowHeight="15.75" x14ac:dyDescent="0.25"/>
  <cols>
    <col min="1" max="1" width="9.140625" style="2"/>
    <col min="2" max="2" width="20.7109375" style="3" customWidth="1"/>
    <col min="3" max="3" width="15.7109375" style="3" customWidth="1"/>
    <col min="4" max="27" width="13.7109375" style="4" hidden="1" customWidth="1"/>
    <col min="28" max="33" width="13.7109375" style="4" customWidth="1"/>
  </cols>
  <sheetData>
    <row r="1" spans="1:33" ht="17.25" thickTop="1" thickBot="1" x14ac:dyDescent="0.3">
      <c r="A1" s="1"/>
      <c r="B1" s="1"/>
      <c r="C1" s="1"/>
      <c r="D1" s="131" t="s">
        <v>29</v>
      </c>
      <c r="E1" s="132"/>
      <c r="F1" s="132"/>
      <c r="G1" s="132"/>
      <c r="H1" s="132"/>
      <c r="I1" s="133"/>
      <c r="J1" s="131" t="s">
        <v>106</v>
      </c>
      <c r="K1" s="132"/>
      <c r="L1" s="132"/>
      <c r="M1" s="132"/>
      <c r="N1" s="132"/>
      <c r="O1" s="133"/>
      <c r="P1" s="131" t="s">
        <v>107</v>
      </c>
      <c r="Q1" s="132"/>
      <c r="R1" s="132"/>
      <c r="S1" s="132"/>
      <c r="T1" s="132"/>
      <c r="U1" s="133"/>
      <c r="V1" s="131" t="s">
        <v>108</v>
      </c>
      <c r="W1" s="132"/>
      <c r="X1" s="132"/>
      <c r="Y1" s="132"/>
      <c r="Z1" s="132"/>
      <c r="AA1" s="133"/>
      <c r="AB1" s="131" t="s">
        <v>109</v>
      </c>
      <c r="AC1" s="132"/>
      <c r="AD1" s="132"/>
      <c r="AE1" s="132"/>
      <c r="AF1" s="132"/>
      <c r="AG1" s="133"/>
    </row>
    <row r="2" spans="1:33" ht="16.5" thickTop="1" x14ac:dyDescent="0.25">
      <c r="A2" s="115" t="s">
        <v>0</v>
      </c>
      <c r="B2" s="115" t="s">
        <v>41</v>
      </c>
      <c r="C2" s="115" t="s">
        <v>42</v>
      </c>
      <c r="D2" s="17" t="s">
        <v>2</v>
      </c>
      <c r="E2" s="17" t="s">
        <v>36</v>
      </c>
      <c r="F2" s="17" t="s">
        <v>43</v>
      </c>
      <c r="G2" s="17" t="s">
        <v>3</v>
      </c>
      <c r="H2" s="17" t="s">
        <v>4</v>
      </c>
      <c r="I2" s="17" t="s">
        <v>5</v>
      </c>
      <c r="J2" s="17" t="s">
        <v>2</v>
      </c>
      <c r="K2" s="17" t="s">
        <v>36</v>
      </c>
      <c r="L2" s="17" t="s">
        <v>43</v>
      </c>
      <c r="M2" s="17" t="s">
        <v>3</v>
      </c>
      <c r="N2" s="17" t="s">
        <v>4</v>
      </c>
      <c r="O2" s="17" t="s">
        <v>5</v>
      </c>
      <c r="P2" s="17" t="s">
        <v>2</v>
      </c>
      <c r="Q2" s="17" t="s">
        <v>36</v>
      </c>
      <c r="R2" s="17" t="s">
        <v>43</v>
      </c>
      <c r="S2" s="17" t="s">
        <v>3</v>
      </c>
      <c r="T2" s="17" t="s">
        <v>4</v>
      </c>
      <c r="U2" s="17" t="s">
        <v>5</v>
      </c>
      <c r="V2" s="17" t="s">
        <v>2</v>
      </c>
      <c r="W2" s="17" t="s">
        <v>36</v>
      </c>
      <c r="X2" s="17" t="s">
        <v>43</v>
      </c>
      <c r="Y2" s="17" t="s">
        <v>3</v>
      </c>
      <c r="Z2" s="17" t="s">
        <v>4</v>
      </c>
      <c r="AA2" s="17" t="s">
        <v>5</v>
      </c>
      <c r="AB2" s="17" t="s">
        <v>2</v>
      </c>
      <c r="AC2" s="17" t="s">
        <v>36</v>
      </c>
      <c r="AD2" s="17" t="s">
        <v>43</v>
      </c>
      <c r="AE2" s="17" t="s">
        <v>3</v>
      </c>
      <c r="AF2" s="17" t="s">
        <v>4</v>
      </c>
      <c r="AG2" s="17" t="s">
        <v>5</v>
      </c>
    </row>
    <row r="3" spans="1:33" x14ac:dyDescent="0.25">
      <c r="A3" s="115"/>
      <c r="B3" s="115"/>
      <c r="C3" s="115"/>
      <c r="D3" s="5" t="s">
        <v>6</v>
      </c>
      <c r="E3" s="5" t="s">
        <v>6</v>
      </c>
      <c r="F3" s="5" t="s">
        <v>6</v>
      </c>
      <c r="G3" s="5" t="s">
        <v>7</v>
      </c>
      <c r="H3" s="5" t="s">
        <v>7</v>
      </c>
      <c r="I3" s="5" t="s">
        <v>7</v>
      </c>
      <c r="J3" s="5" t="s">
        <v>6</v>
      </c>
      <c r="K3" s="5" t="s">
        <v>6</v>
      </c>
      <c r="L3" s="5" t="s">
        <v>6</v>
      </c>
      <c r="M3" s="5" t="s">
        <v>7</v>
      </c>
      <c r="N3" s="5" t="s">
        <v>7</v>
      </c>
      <c r="O3" s="5" t="s">
        <v>7</v>
      </c>
      <c r="P3" s="5" t="s">
        <v>6</v>
      </c>
      <c r="Q3" s="5" t="s">
        <v>6</v>
      </c>
      <c r="R3" s="5" t="s">
        <v>6</v>
      </c>
      <c r="S3" s="5" t="s">
        <v>7</v>
      </c>
      <c r="T3" s="5" t="s">
        <v>7</v>
      </c>
      <c r="U3" s="5" t="s">
        <v>7</v>
      </c>
      <c r="V3" s="5" t="s">
        <v>6</v>
      </c>
      <c r="W3" s="5" t="s">
        <v>6</v>
      </c>
      <c r="X3" s="5" t="s">
        <v>6</v>
      </c>
      <c r="Y3" s="5" t="s">
        <v>7</v>
      </c>
      <c r="Z3" s="5" t="s">
        <v>7</v>
      </c>
      <c r="AA3" s="5" t="s">
        <v>7</v>
      </c>
      <c r="AB3" s="5" t="s">
        <v>6</v>
      </c>
      <c r="AC3" s="5" t="s">
        <v>6</v>
      </c>
      <c r="AD3" s="5" t="s">
        <v>6</v>
      </c>
      <c r="AE3" s="5" t="s">
        <v>7</v>
      </c>
      <c r="AF3" s="5" t="s">
        <v>7</v>
      </c>
      <c r="AG3" s="5" t="s">
        <v>7</v>
      </c>
    </row>
    <row r="4" spans="1:33" x14ac:dyDescent="0.25">
      <c r="A4" s="6">
        <v>1</v>
      </c>
      <c r="B4" s="7" t="s">
        <v>27</v>
      </c>
      <c r="C4" s="7" t="s">
        <v>44</v>
      </c>
      <c r="D4" s="8"/>
      <c r="E4" s="8"/>
      <c r="F4" s="8"/>
      <c r="G4" s="8">
        <v>496000</v>
      </c>
      <c r="H4" s="8">
        <v>403000</v>
      </c>
      <c r="I4" s="8">
        <v>331000</v>
      </c>
      <c r="J4" s="8"/>
      <c r="K4" s="8"/>
      <c r="L4" s="8"/>
      <c r="M4" s="8">
        <v>513000</v>
      </c>
      <c r="N4" s="8">
        <v>417000</v>
      </c>
      <c r="O4" s="8">
        <v>342000</v>
      </c>
      <c r="P4" s="8"/>
      <c r="Q4" s="8"/>
      <c r="R4" s="8"/>
      <c r="S4" s="8">
        <v>500000</v>
      </c>
      <c r="T4" s="8">
        <v>407000</v>
      </c>
      <c r="U4" s="8">
        <v>334000</v>
      </c>
      <c r="V4" s="8"/>
      <c r="W4" s="8"/>
      <c r="X4" s="8"/>
      <c r="Y4" s="8">
        <v>485000</v>
      </c>
      <c r="Z4" s="8">
        <v>395000</v>
      </c>
      <c r="AA4" s="8">
        <v>324000</v>
      </c>
      <c r="AB4" s="8"/>
      <c r="AC4" s="8"/>
      <c r="AD4" s="8"/>
      <c r="AE4" s="8">
        <v>485000</v>
      </c>
      <c r="AF4" s="8">
        <v>395000</v>
      </c>
      <c r="AG4" s="8">
        <v>324000</v>
      </c>
    </row>
    <row r="5" spans="1:33" x14ac:dyDescent="0.25">
      <c r="A5" s="9">
        <f t="shared" ref="A5:A68" si="0">A4+1</f>
        <v>2</v>
      </c>
      <c r="B5" s="10" t="s">
        <v>27</v>
      </c>
      <c r="C5" s="10" t="s">
        <v>45</v>
      </c>
      <c r="D5" s="11"/>
      <c r="E5" s="11"/>
      <c r="F5" s="11"/>
      <c r="G5" s="11">
        <v>414000</v>
      </c>
      <c r="H5" s="11">
        <v>321000</v>
      </c>
      <c r="I5" s="11">
        <v>279000</v>
      </c>
      <c r="J5" s="11"/>
      <c r="K5" s="11"/>
      <c r="L5" s="11"/>
      <c r="M5" s="11">
        <v>428000</v>
      </c>
      <c r="N5" s="11">
        <v>332000</v>
      </c>
      <c r="O5" s="11">
        <v>288000</v>
      </c>
      <c r="P5" s="11"/>
      <c r="Q5" s="11"/>
      <c r="R5" s="11"/>
      <c r="S5" s="11">
        <v>417000</v>
      </c>
      <c r="T5" s="11">
        <v>324000</v>
      </c>
      <c r="U5" s="11">
        <v>281000</v>
      </c>
      <c r="V5" s="11"/>
      <c r="W5" s="11"/>
      <c r="X5" s="11"/>
      <c r="Y5" s="11">
        <v>404000</v>
      </c>
      <c r="Z5" s="11">
        <v>314000</v>
      </c>
      <c r="AA5" s="11">
        <v>273000</v>
      </c>
      <c r="AB5" s="11"/>
      <c r="AC5" s="11"/>
      <c r="AD5" s="11"/>
      <c r="AE5" s="11">
        <v>404000</v>
      </c>
      <c r="AF5" s="11">
        <v>314000</v>
      </c>
      <c r="AG5" s="11">
        <v>273000</v>
      </c>
    </row>
    <row r="6" spans="1:33" x14ac:dyDescent="0.25">
      <c r="A6" s="9">
        <f t="shared" si="0"/>
        <v>3</v>
      </c>
      <c r="B6" s="10" t="s">
        <v>37</v>
      </c>
      <c r="C6" s="10"/>
      <c r="D6" s="11"/>
      <c r="E6" s="11"/>
      <c r="F6" s="11"/>
      <c r="G6" s="11">
        <v>352000</v>
      </c>
      <c r="H6" s="11">
        <v>331000</v>
      </c>
      <c r="I6" s="11">
        <v>290000</v>
      </c>
      <c r="J6" s="11"/>
      <c r="K6" s="11"/>
      <c r="L6" s="11"/>
      <c r="M6" s="11">
        <v>364000</v>
      </c>
      <c r="N6" s="11">
        <v>342000</v>
      </c>
      <c r="O6" s="11">
        <v>300000</v>
      </c>
      <c r="P6" s="11"/>
      <c r="Q6" s="11"/>
      <c r="R6" s="11"/>
      <c r="S6" s="11">
        <v>355000</v>
      </c>
      <c r="T6" s="11">
        <v>334000</v>
      </c>
      <c r="U6" s="11">
        <v>293000</v>
      </c>
      <c r="V6" s="11"/>
      <c r="W6" s="11"/>
      <c r="X6" s="11"/>
      <c r="Y6" s="11">
        <v>344000</v>
      </c>
      <c r="Z6" s="11">
        <v>324000</v>
      </c>
      <c r="AA6" s="11">
        <v>284000</v>
      </c>
      <c r="AB6" s="11"/>
      <c r="AC6" s="11"/>
      <c r="AD6" s="11"/>
      <c r="AE6" s="11">
        <v>344000</v>
      </c>
      <c r="AF6" s="11">
        <v>324000</v>
      </c>
      <c r="AG6" s="11">
        <v>284000</v>
      </c>
    </row>
    <row r="7" spans="1:33" x14ac:dyDescent="0.25">
      <c r="A7" s="9">
        <f t="shared" si="0"/>
        <v>4</v>
      </c>
      <c r="B7" s="10" t="s">
        <v>37</v>
      </c>
      <c r="C7" s="10" t="s">
        <v>46</v>
      </c>
      <c r="D7" s="11"/>
      <c r="E7" s="11"/>
      <c r="F7" s="11"/>
      <c r="G7" s="11">
        <v>341000</v>
      </c>
      <c r="H7" s="11">
        <v>321000</v>
      </c>
      <c r="I7" s="11">
        <v>279000</v>
      </c>
      <c r="J7" s="11"/>
      <c r="K7" s="11"/>
      <c r="L7" s="11"/>
      <c r="M7" s="11">
        <v>352000</v>
      </c>
      <c r="N7" s="11">
        <v>332000</v>
      </c>
      <c r="O7" s="11">
        <v>288000</v>
      </c>
      <c r="P7" s="11"/>
      <c r="Q7" s="11"/>
      <c r="R7" s="11"/>
      <c r="S7" s="11">
        <v>343000</v>
      </c>
      <c r="T7" s="11">
        <v>324000</v>
      </c>
      <c r="U7" s="11">
        <v>281000</v>
      </c>
      <c r="V7" s="11"/>
      <c r="W7" s="11"/>
      <c r="X7" s="11"/>
      <c r="Y7" s="11">
        <v>333000</v>
      </c>
      <c r="Z7" s="11">
        <v>314000</v>
      </c>
      <c r="AA7" s="11">
        <v>273000</v>
      </c>
      <c r="AB7" s="11"/>
      <c r="AC7" s="11"/>
      <c r="AD7" s="11"/>
      <c r="AE7" s="11">
        <v>333000</v>
      </c>
      <c r="AF7" s="11">
        <v>314000</v>
      </c>
      <c r="AG7" s="11">
        <v>273000</v>
      </c>
    </row>
    <row r="8" spans="1:33" x14ac:dyDescent="0.25">
      <c r="A8" s="9">
        <f t="shared" si="0"/>
        <v>5</v>
      </c>
      <c r="B8" s="10" t="s">
        <v>22</v>
      </c>
      <c r="C8" s="10"/>
      <c r="D8" s="11"/>
      <c r="E8" s="11"/>
      <c r="F8" s="11"/>
      <c r="G8" s="11">
        <v>517000</v>
      </c>
      <c r="H8" s="11">
        <v>476000</v>
      </c>
      <c r="I8" s="11">
        <v>383000</v>
      </c>
      <c r="J8" s="11"/>
      <c r="K8" s="11"/>
      <c r="L8" s="11"/>
      <c r="M8" s="11">
        <v>534000</v>
      </c>
      <c r="N8" s="11">
        <v>492000</v>
      </c>
      <c r="O8" s="11">
        <v>396000</v>
      </c>
      <c r="P8" s="11"/>
      <c r="Q8" s="11"/>
      <c r="R8" s="11"/>
      <c r="S8" s="11">
        <v>521000</v>
      </c>
      <c r="T8" s="11">
        <v>480000</v>
      </c>
      <c r="U8" s="11">
        <v>386000</v>
      </c>
      <c r="V8" s="11"/>
      <c r="W8" s="11"/>
      <c r="X8" s="11"/>
      <c r="Y8" s="11">
        <v>505000</v>
      </c>
      <c r="Z8" s="11">
        <v>466000</v>
      </c>
      <c r="AA8" s="11">
        <v>374000</v>
      </c>
      <c r="AB8" s="11"/>
      <c r="AC8" s="11"/>
      <c r="AD8" s="11"/>
      <c r="AE8" s="11">
        <v>505000</v>
      </c>
      <c r="AF8" s="11">
        <v>466000</v>
      </c>
      <c r="AG8" s="11">
        <v>374000</v>
      </c>
    </row>
    <row r="9" spans="1:33" x14ac:dyDescent="0.25">
      <c r="A9" s="9">
        <f t="shared" si="0"/>
        <v>6</v>
      </c>
      <c r="B9" s="10" t="s">
        <v>18</v>
      </c>
      <c r="C9" s="10"/>
      <c r="D9" s="11"/>
      <c r="E9" s="11"/>
      <c r="F9" s="11"/>
      <c r="G9" s="11">
        <v>362000</v>
      </c>
      <c r="H9" s="11">
        <v>352000</v>
      </c>
      <c r="I9" s="11">
        <v>290000</v>
      </c>
      <c r="J9" s="11"/>
      <c r="K9" s="11"/>
      <c r="L9" s="11"/>
      <c r="M9" s="11">
        <v>374000</v>
      </c>
      <c r="N9" s="11">
        <v>364000</v>
      </c>
      <c r="O9" s="11">
        <v>300000</v>
      </c>
      <c r="P9" s="11"/>
      <c r="Q9" s="11"/>
      <c r="R9" s="11"/>
      <c r="S9" s="11">
        <v>365000</v>
      </c>
      <c r="T9" s="11">
        <v>355000</v>
      </c>
      <c r="U9" s="11">
        <v>293000</v>
      </c>
      <c r="V9" s="11"/>
      <c r="W9" s="11"/>
      <c r="X9" s="11"/>
      <c r="Y9" s="11">
        <v>354000</v>
      </c>
      <c r="Z9" s="11">
        <v>344000</v>
      </c>
      <c r="AA9" s="11">
        <v>284000</v>
      </c>
      <c r="AB9" s="11"/>
      <c r="AC9" s="11"/>
      <c r="AD9" s="11"/>
      <c r="AE9" s="11">
        <v>354000</v>
      </c>
      <c r="AF9" s="11">
        <v>344000</v>
      </c>
      <c r="AG9" s="11">
        <v>284000</v>
      </c>
    </row>
    <row r="10" spans="1:33" x14ac:dyDescent="0.25">
      <c r="A10" s="9">
        <f t="shared" si="0"/>
        <v>7</v>
      </c>
      <c r="B10" s="10" t="s">
        <v>31</v>
      </c>
      <c r="C10" s="10"/>
      <c r="D10" s="11"/>
      <c r="E10" s="11"/>
      <c r="F10" s="11"/>
      <c r="G10" s="11">
        <v>983000</v>
      </c>
      <c r="H10" s="11">
        <v>972000</v>
      </c>
      <c r="I10" s="11">
        <v>848000</v>
      </c>
      <c r="J10" s="11"/>
      <c r="K10" s="11"/>
      <c r="L10" s="11"/>
      <c r="M10" s="11">
        <v>1016000</v>
      </c>
      <c r="N10" s="11">
        <v>1005000</v>
      </c>
      <c r="O10" s="11">
        <v>876000</v>
      </c>
      <c r="P10" s="11"/>
      <c r="Q10" s="11"/>
      <c r="R10" s="11"/>
      <c r="S10" s="11">
        <v>991000</v>
      </c>
      <c r="T10" s="11">
        <v>980000</v>
      </c>
      <c r="U10" s="11">
        <v>854000</v>
      </c>
      <c r="V10" s="11"/>
      <c r="W10" s="11"/>
      <c r="X10" s="11"/>
      <c r="Y10" s="11">
        <v>961000</v>
      </c>
      <c r="Z10" s="11">
        <v>950000</v>
      </c>
      <c r="AA10" s="11">
        <v>828000</v>
      </c>
      <c r="AB10" s="11"/>
      <c r="AC10" s="11"/>
      <c r="AD10" s="11"/>
      <c r="AE10" s="11">
        <v>961000</v>
      </c>
      <c r="AF10" s="11">
        <v>950000</v>
      </c>
      <c r="AG10" s="11">
        <v>828000</v>
      </c>
    </row>
    <row r="11" spans="1:33" x14ac:dyDescent="0.25">
      <c r="A11" s="9">
        <f t="shared" si="0"/>
        <v>8</v>
      </c>
      <c r="B11" s="10" t="s">
        <v>31</v>
      </c>
      <c r="C11" s="10" t="s">
        <v>47</v>
      </c>
      <c r="D11" s="11"/>
      <c r="E11" s="11"/>
      <c r="F11" s="11"/>
      <c r="G11" s="11">
        <v>983000</v>
      </c>
      <c r="H11" s="11">
        <v>972000</v>
      </c>
      <c r="I11" s="11">
        <v>848000</v>
      </c>
      <c r="J11" s="11"/>
      <c r="K11" s="11"/>
      <c r="L11" s="11"/>
      <c r="M11" s="11">
        <v>1016000</v>
      </c>
      <c r="N11" s="11">
        <v>1005000</v>
      </c>
      <c r="O11" s="11">
        <v>876000</v>
      </c>
      <c r="P11" s="11"/>
      <c r="Q11" s="11"/>
      <c r="R11" s="11"/>
      <c r="S11" s="11">
        <v>991000</v>
      </c>
      <c r="T11" s="11">
        <v>980000</v>
      </c>
      <c r="U11" s="11">
        <v>854000</v>
      </c>
      <c r="V11" s="11"/>
      <c r="W11" s="11"/>
      <c r="X11" s="11"/>
      <c r="Y11" s="11">
        <v>961000</v>
      </c>
      <c r="Z11" s="11">
        <v>950000</v>
      </c>
      <c r="AA11" s="11">
        <v>828000</v>
      </c>
      <c r="AB11" s="11"/>
      <c r="AC11" s="11"/>
      <c r="AD11" s="11"/>
      <c r="AE11" s="11">
        <v>961000</v>
      </c>
      <c r="AF11" s="11">
        <v>950000</v>
      </c>
      <c r="AG11" s="11">
        <v>828000</v>
      </c>
    </row>
    <row r="12" spans="1:33" x14ac:dyDescent="0.25">
      <c r="A12" s="9">
        <f t="shared" si="0"/>
        <v>9</v>
      </c>
      <c r="B12" s="10" t="s">
        <v>31</v>
      </c>
      <c r="C12" s="10" t="s">
        <v>48</v>
      </c>
      <c r="D12" s="11"/>
      <c r="E12" s="11"/>
      <c r="F12" s="11"/>
      <c r="G12" s="11">
        <v>983000</v>
      </c>
      <c r="H12" s="11">
        <v>931000</v>
      </c>
      <c r="I12" s="11">
        <v>827000</v>
      </c>
      <c r="J12" s="11"/>
      <c r="K12" s="11"/>
      <c r="L12" s="11"/>
      <c r="M12" s="11">
        <v>1016000</v>
      </c>
      <c r="N12" s="11">
        <v>962000</v>
      </c>
      <c r="O12" s="11">
        <v>855000</v>
      </c>
      <c r="P12" s="11"/>
      <c r="Q12" s="11"/>
      <c r="R12" s="11"/>
      <c r="S12" s="11">
        <v>991000</v>
      </c>
      <c r="T12" s="11">
        <v>938000</v>
      </c>
      <c r="U12" s="11">
        <v>834000</v>
      </c>
      <c r="V12" s="11"/>
      <c r="W12" s="11"/>
      <c r="X12" s="11"/>
      <c r="Y12" s="11">
        <v>961000</v>
      </c>
      <c r="Z12" s="11">
        <v>910000</v>
      </c>
      <c r="AA12" s="11">
        <v>809000</v>
      </c>
      <c r="AB12" s="11"/>
      <c r="AC12" s="11"/>
      <c r="AD12" s="11"/>
      <c r="AE12" s="11">
        <v>961000</v>
      </c>
      <c r="AF12" s="11">
        <v>910000</v>
      </c>
      <c r="AG12" s="11">
        <v>809000</v>
      </c>
    </row>
    <row r="13" spans="1:33" x14ac:dyDescent="0.25">
      <c r="A13" s="9">
        <f t="shared" si="0"/>
        <v>10</v>
      </c>
      <c r="B13" s="10" t="s">
        <v>49</v>
      </c>
      <c r="C13" s="10" t="s">
        <v>50</v>
      </c>
      <c r="D13" s="11"/>
      <c r="E13" s="11"/>
      <c r="F13" s="11"/>
      <c r="G13" s="11">
        <v>352000</v>
      </c>
      <c r="H13" s="11">
        <v>341000</v>
      </c>
      <c r="I13" s="11">
        <v>331000</v>
      </c>
      <c r="J13" s="11"/>
      <c r="K13" s="11"/>
      <c r="L13" s="11"/>
      <c r="M13" s="11">
        <v>364000</v>
      </c>
      <c r="N13" s="11">
        <v>352000</v>
      </c>
      <c r="O13" s="11">
        <v>342000</v>
      </c>
      <c r="P13" s="11"/>
      <c r="Q13" s="11"/>
      <c r="R13" s="11"/>
      <c r="S13" s="11">
        <v>355000</v>
      </c>
      <c r="T13" s="11">
        <v>343000</v>
      </c>
      <c r="U13" s="11">
        <v>334000</v>
      </c>
      <c r="V13" s="11"/>
      <c r="W13" s="11"/>
      <c r="X13" s="11"/>
      <c r="Y13" s="11">
        <v>344000</v>
      </c>
      <c r="Z13" s="11">
        <v>333000</v>
      </c>
      <c r="AA13" s="11">
        <v>324000</v>
      </c>
      <c r="AB13" s="11"/>
      <c r="AC13" s="11"/>
      <c r="AD13" s="11"/>
      <c r="AE13" s="11">
        <v>344000</v>
      </c>
      <c r="AF13" s="11">
        <v>333000</v>
      </c>
      <c r="AG13" s="11">
        <v>324000</v>
      </c>
    </row>
    <row r="14" spans="1:33" x14ac:dyDescent="0.25">
      <c r="A14" s="9">
        <f t="shared" si="0"/>
        <v>11</v>
      </c>
      <c r="B14" s="10" t="s">
        <v>49</v>
      </c>
      <c r="C14" s="10" t="s">
        <v>51</v>
      </c>
      <c r="D14" s="11"/>
      <c r="E14" s="11"/>
      <c r="F14" s="11"/>
      <c r="G14" s="11">
        <v>331000</v>
      </c>
      <c r="H14" s="11">
        <v>321000</v>
      </c>
      <c r="I14" s="11">
        <v>310000</v>
      </c>
      <c r="J14" s="11"/>
      <c r="K14" s="11"/>
      <c r="L14" s="11"/>
      <c r="M14" s="11">
        <v>342000</v>
      </c>
      <c r="N14" s="11">
        <v>332000</v>
      </c>
      <c r="O14" s="11">
        <v>320000</v>
      </c>
      <c r="P14" s="11"/>
      <c r="Q14" s="11"/>
      <c r="R14" s="11"/>
      <c r="S14" s="11">
        <v>334000</v>
      </c>
      <c r="T14" s="11">
        <v>324000</v>
      </c>
      <c r="U14" s="11">
        <v>312000</v>
      </c>
      <c r="V14" s="11"/>
      <c r="W14" s="11"/>
      <c r="X14" s="11"/>
      <c r="Y14" s="11">
        <v>324000</v>
      </c>
      <c r="Z14" s="11">
        <v>314000</v>
      </c>
      <c r="AA14" s="11">
        <v>303000</v>
      </c>
      <c r="AB14" s="11"/>
      <c r="AC14" s="11"/>
      <c r="AD14" s="11"/>
      <c r="AE14" s="11">
        <v>324000</v>
      </c>
      <c r="AF14" s="11">
        <v>314000</v>
      </c>
      <c r="AG14" s="11">
        <v>303000</v>
      </c>
    </row>
    <row r="15" spans="1:33" x14ac:dyDescent="0.25">
      <c r="A15" s="9">
        <f t="shared" si="0"/>
        <v>12</v>
      </c>
      <c r="B15" s="10" t="s">
        <v>49</v>
      </c>
      <c r="C15" s="10" t="s">
        <v>52</v>
      </c>
      <c r="D15" s="11"/>
      <c r="E15" s="11"/>
      <c r="F15" s="11"/>
      <c r="G15" s="11">
        <v>352000</v>
      </c>
      <c r="H15" s="11">
        <v>341000</v>
      </c>
      <c r="I15" s="11">
        <v>331000</v>
      </c>
      <c r="J15" s="11"/>
      <c r="K15" s="11"/>
      <c r="L15" s="11"/>
      <c r="M15" s="11">
        <v>364000</v>
      </c>
      <c r="N15" s="11">
        <v>352000</v>
      </c>
      <c r="O15" s="11">
        <v>342000</v>
      </c>
      <c r="P15" s="11"/>
      <c r="Q15" s="11"/>
      <c r="R15" s="11"/>
      <c r="S15" s="11">
        <v>355000</v>
      </c>
      <c r="T15" s="11">
        <v>343000</v>
      </c>
      <c r="U15" s="11">
        <v>334000</v>
      </c>
      <c r="V15" s="11"/>
      <c r="W15" s="11"/>
      <c r="X15" s="11"/>
      <c r="Y15" s="11">
        <v>344000</v>
      </c>
      <c r="Z15" s="11">
        <v>333000</v>
      </c>
      <c r="AA15" s="11">
        <v>324000</v>
      </c>
      <c r="AB15" s="11"/>
      <c r="AC15" s="11"/>
      <c r="AD15" s="11"/>
      <c r="AE15" s="11">
        <v>344000</v>
      </c>
      <c r="AF15" s="11">
        <v>333000</v>
      </c>
      <c r="AG15" s="11">
        <v>324000</v>
      </c>
    </row>
    <row r="16" spans="1:33" x14ac:dyDescent="0.25">
      <c r="A16" s="9">
        <f t="shared" si="0"/>
        <v>13</v>
      </c>
      <c r="B16" s="10" t="s">
        <v>49</v>
      </c>
      <c r="C16" s="10" t="s">
        <v>53</v>
      </c>
      <c r="D16" s="11">
        <v>1138000</v>
      </c>
      <c r="E16" s="11"/>
      <c r="F16" s="11"/>
      <c r="G16" s="11">
        <v>290000</v>
      </c>
      <c r="H16" s="11">
        <v>279000</v>
      </c>
      <c r="I16" s="11">
        <v>269000</v>
      </c>
      <c r="J16" s="11">
        <v>1176000</v>
      </c>
      <c r="K16" s="11"/>
      <c r="L16" s="11"/>
      <c r="M16" s="11">
        <v>300000</v>
      </c>
      <c r="N16" s="11">
        <v>288000</v>
      </c>
      <c r="O16" s="11">
        <v>278000</v>
      </c>
      <c r="P16" s="11">
        <v>1147000</v>
      </c>
      <c r="Q16" s="11"/>
      <c r="R16" s="11"/>
      <c r="S16" s="11">
        <v>293000</v>
      </c>
      <c r="T16" s="11">
        <v>281000</v>
      </c>
      <c r="U16" s="11">
        <v>271000</v>
      </c>
      <c r="V16" s="11">
        <v>1112000</v>
      </c>
      <c r="W16" s="11"/>
      <c r="X16" s="11"/>
      <c r="Y16" s="11">
        <v>284000</v>
      </c>
      <c r="Z16" s="11">
        <v>273000</v>
      </c>
      <c r="AA16" s="11">
        <v>263000</v>
      </c>
      <c r="AB16" s="11">
        <v>1112000</v>
      </c>
      <c r="AC16" s="11"/>
      <c r="AD16" s="11"/>
      <c r="AE16" s="11">
        <v>284000</v>
      </c>
      <c r="AF16" s="11">
        <v>273000</v>
      </c>
      <c r="AG16" s="11">
        <v>263000</v>
      </c>
    </row>
    <row r="17" spans="1:33" x14ac:dyDescent="0.25">
      <c r="A17" s="9">
        <f t="shared" si="0"/>
        <v>14</v>
      </c>
      <c r="B17" s="10" t="s">
        <v>49</v>
      </c>
      <c r="C17" s="10" t="s">
        <v>54</v>
      </c>
      <c r="D17" s="11"/>
      <c r="E17" s="11"/>
      <c r="F17" s="11"/>
      <c r="G17" s="11">
        <v>352000</v>
      </c>
      <c r="H17" s="11">
        <v>341000</v>
      </c>
      <c r="I17" s="11">
        <v>331000</v>
      </c>
      <c r="J17" s="11"/>
      <c r="K17" s="11"/>
      <c r="L17" s="11"/>
      <c r="M17" s="11">
        <v>364000</v>
      </c>
      <c r="N17" s="11">
        <v>352000</v>
      </c>
      <c r="O17" s="11">
        <v>342000</v>
      </c>
      <c r="P17" s="11"/>
      <c r="Q17" s="11"/>
      <c r="R17" s="11"/>
      <c r="S17" s="11">
        <v>355000</v>
      </c>
      <c r="T17" s="11">
        <v>343000</v>
      </c>
      <c r="U17" s="11">
        <v>334000</v>
      </c>
      <c r="V17" s="11"/>
      <c r="W17" s="11"/>
      <c r="X17" s="11"/>
      <c r="Y17" s="11">
        <v>344000</v>
      </c>
      <c r="Z17" s="11">
        <v>333000</v>
      </c>
      <c r="AA17" s="11">
        <v>324000</v>
      </c>
      <c r="AB17" s="11"/>
      <c r="AC17" s="11"/>
      <c r="AD17" s="11"/>
      <c r="AE17" s="11">
        <v>344000</v>
      </c>
      <c r="AF17" s="11">
        <v>333000</v>
      </c>
      <c r="AG17" s="11">
        <v>324000</v>
      </c>
    </row>
    <row r="18" spans="1:33" x14ac:dyDescent="0.25">
      <c r="A18" s="9">
        <f t="shared" si="0"/>
        <v>15</v>
      </c>
      <c r="B18" s="10" t="s">
        <v>49</v>
      </c>
      <c r="C18" s="10" t="s">
        <v>55</v>
      </c>
      <c r="D18" s="11"/>
      <c r="E18" s="11"/>
      <c r="F18" s="11"/>
      <c r="G18" s="11">
        <v>331000</v>
      </c>
      <c r="H18" s="11">
        <v>321000</v>
      </c>
      <c r="I18" s="11">
        <v>310000</v>
      </c>
      <c r="J18" s="11"/>
      <c r="K18" s="11"/>
      <c r="L18" s="11"/>
      <c r="M18" s="11">
        <v>342000</v>
      </c>
      <c r="N18" s="11">
        <v>332000</v>
      </c>
      <c r="O18" s="11">
        <v>320000</v>
      </c>
      <c r="P18" s="11"/>
      <c r="Q18" s="11"/>
      <c r="R18" s="11"/>
      <c r="S18" s="11">
        <v>334000</v>
      </c>
      <c r="T18" s="11">
        <v>324000</v>
      </c>
      <c r="U18" s="11">
        <v>312000</v>
      </c>
      <c r="V18" s="11"/>
      <c r="W18" s="11"/>
      <c r="X18" s="11"/>
      <c r="Y18" s="11">
        <v>324000</v>
      </c>
      <c r="Z18" s="11">
        <v>314000</v>
      </c>
      <c r="AA18" s="11">
        <v>303000</v>
      </c>
      <c r="AB18" s="11"/>
      <c r="AC18" s="11"/>
      <c r="AD18" s="11"/>
      <c r="AE18" s="11">
        <v>324000</v>
      </c>
      <c r="AF18" s="11">
        <v>314000</v>
      </c>
      <c r="AG18" s="11">
        <v>303000</v>
      </c>
    </row>
    <row r="19" spans="1:33" x14ac:dyDescent="0.25">
      <c r="A19" s="9">
        <f t="shared" si="0"/>
        <v>16</v>
      </c>
      <c r="B19" s="10" t="s">
        <v>49</v>
      </c>
      <c r="C19" s="10" t="s">
        <v>56</v>
      </c>
      <c r="D19" s="11">
        <v>1138000</v>
      </c>
      <c r="E19" s="11"/>
      <c r="F19" s="11"/>
      <c r="G19" s="11">
        <v>290000</v>
      </c>
      <c r="H19" s="11">
        <v>279000</v>
      </c>
      <c r="I19" s="11">
        <v>269000</v>
      </c>
      <c r="J19" s="11">
        <v>1176000</v>
      </c>
      <c r="K19" s="11"/>
      <c r="L19" s="11"/>
      <c r="M19" s="11">
        <v>300000</v>
      </c>
      <c r="N19" s="11">
        <v>288000</v>
      </c>
      <c r="O19" s="11">
        <v>278000</v>
      </c>
      <c r="P19" s="11">
        <v>1147000</v>
      </c>
      <c r="Q19" s="11"/>
      <c r="R19" s="11"/>
      <c r="S19" s="11">
        <v>293000</v>
      </c>
      <c r="T19" s="11">
        <v>281000</v>
      </c>
      <c r="U19" s="11">
        <v>271000</v>
      </c>
      <c r="V19" s="11">
        <v>1112000</v>
      </c>
      <c r="W19" s="11"/>
      <c r="X19" s="11"/>
      <c r="Y19" s="11">
        <v>284000</v>
      </c>
      <c r="Z19" s="11">
        <v>273000</v>
      </c>
      <c r="AA19" s="11">
        <v>263000</v>
      </c>
      <c r="AB19" s="11">
        <v>1112000</v>
      </c>
      <c r="AC19" s="11"/>
      <c r="AD19" s="11"/>
      <c r="AE19" s="11">
        <v>284000</v>
      </c>
      <c r="AF19" s="11">
        <v>273000</v>
      </c>
      <c r="AG19" s="11">
        <v>263000</v>
      </c>
    </row>
    <row r="20" spans="1:33" x14ac:dyDescent="0.25">
      <c r="A20" s="9">
        <f t="shared" si="0"/>
        <v>17</v>
      </c>
      <c r="B20" s="10" t="s">
        <v>49</v>
      </c>
      <c r="C20" s="10" t="s">
        <v>57</v>
      </c>
      <c r="D20" s="11">
        <v>1138000</v>
      </c>
      <c r="E20" s="11"/>
      <c r="F20" s="11"/>
      <c r="G20" s="11">
        <v>290000</v>
      </c>
      <c r="H20" s="11">
        <v>279000</v>
      </c>
      <c r="I20" s="11">
        <v>269000</v>
      </c>
      <c r="J20" s="11">
        <v>1176000</v>
      </c>
      <c r="K20" s="11"/>
      <c r="L20" s="11"/>
      <c r="M20" s="11">
        <v>300000</v>
      </c>
      <c r="N20" s="11">
        <v>288000</v>
      </c>
      <c r="O20" s="11">
        <v>278000</v>
      </c>
      <c r="P20" s="11">
        <v>1147000</v>
      </c>
      <c r="Q20" s="11"/>
      <c r="R20" s="11"/>
      <c r="S20" s="11">
        <v>293000</v>
      </c>
      <c r="T20" s="11">
        <v>281000</v>
      </c>
      <c r="U20" s="11">
        <v>271000</v>
      </c>
      <c r="V20" s="11">
        <v>1112000</v>
      </c>
      <c r="W20" s="11"/>
      <c r="X20" s="11"/>
      <c r="Y20" s="11">
        <v>284000</v>
      </c>
      <c r="Z20" s="11">
        <v>273000</v>
      </c>
      <c r="AA20" s="11">
        <v>263000</v>
      </c>
      <c r="AB20" s="11">
        <v>1112000</v>
      </c>
      <c r="AC20" s="11"/>
      <c r="AD20" s="11"/>
      <c r="AE20" s="11">
        <v>284000</v>
      </c>
      <c r="AF20" s="11">
        <v>273000</v>
      </c>
      <c r="AG20" s="11">
        <v>263000</v>
      </c>
    </row>
    <row r="21" spans="1:33" x14ac:dyDescent="0.25">
      <c r="A21" s="9">
        <f t="shared" si="0"/>
        <v>18</v>
      </c>
      <c r="B21" s="10" t="s">
        <v>10</v>
      </c>
      <c r="C21" s="10"/>
      <c r="D21" s="11"/>
      <c r="E21" s="11"/>
      <c r="F21" s="11"/>
      <c r="G21" s="11">
        <v>434000</v>
      </c>
      <c r="H21" s="11">
        <v>331000</v>
      </c>
      <c r="I21" s="11">
        <v>259000</v>
      </c>
      <c r="J21" s="11"/>
      <c r="K21" s="11"/>
      <c r="L21" s="11"/>
      <c r="M21" s="11">
        <v>449000</v>
      </c>
      <c r="N21" s="11">
        <v>342000</v>
      </c>
      <c r="O21" s="11">
        <v>268000</v>
      </c>
      <c r="P21" s="11"/>
      <c r="Q21" s="11"/>
      <c r="R21" s="11"/>
      <c r="S21" s="11">
        <v>438000</v>
      </c>
      <c r="T21" s="11">
        <v>334000</v>
      </c>
      <c r="U21" s="11">
        <v>261000</v>
      </c>
      <c r="V21" s="11"/>
      <c r="W21" s="11"/>
      <c r="X21" s="11"/>
      <c r="Y21" s="11">
        <v>425000</v>
      </c>
      <c r="Z21" s="11">
        <v>324000</v>
      </c>
      <c r="AA21" s="11">
        <v>253000</v>
      </c>
      <c r="AB21" s="11"/>
      <c r="AC21" s="11"/>
      <c r="AD21" s="11"/>
      <c r="AE21" s="11">
        <v>425000</v>
      </c>
      <c r="AF21" s="11">
        <v>324000</v>
      </c>
      <c r="AG21" s="11">
        <v>253000</v>
      </c>
    </row>
    <row r="22" spans="1:33" x14ac:dyDescent="0.25">
      <c r="A22" s="9">
        <f t="shared" si="0"/>
        <v>19</v>
      </c>
      <c r="B22" s="10" t="s">
        <v>58</v>
      </c>
      <c r="C22" s="10" t="s">
        <v>59</v>
      </c>
      <c r="D22" s="11"/>
      <c r="E22" s="11"/>
      <c r="F22" s="11"/>
      <c r="G22" s="11">
        <v>414000</v>
      </c>
      <c r="H22" s="11">
        <v>362000</v>
      </c>
      <c r="I22" s="11">
        <v>290000</v>
      </c>
      <c r="J22" s="11"/>
      <c r="K22" s="11"/>
      <c r="L22" s="11"/>
      <c r="M22" s="11">
        <v>428000</v>
      </c>
      <c r="N22" s="11">
        <v>374000</v>
      </c>
      <c r="O22" s="11">
        <v>300000</v>
      </c>
      <c r="P22" s="11"/>
      <c r="Q22" s="11"/>
      <c r="R22" s="11"/>
      <c r="S22" s="11">
        <v>417000</v>
      </c>
      <c r="T22" s="11">
        <v>365000</v>
      </c>
      <c r="U22" s="11">
        <v>293000</v>
      </c>
      <c r="V22" s="11"/>
      <c r="W22" s="11"/>
      <c r="X22" s="11"/>
      <c r="Y22" s="11">
        <v>404000</v>
      </c>
      <c r="Z22" s="11">
        <v>354000</v>
      </c>
      <c r="AA22" s="11">
        <v>284000</v>
      </c>
      <c r="AB22" s="11"/>
      <c r="AC22" s="11"/>
      <c r="AD22" s="11"/>
      <c r="AE22" s="11">
        <v>404000</v>
      </c>
      <c r="AF22" s="11">
        <v>354000</v>
      </c>
      <c r="AG22" s="11">
        <v>284000</v>
      </c>
    </row>
    <row r="23" spans="1:33" x14ac:dyDescent="0.25">
      <c r="A23" s="9">
        <f t="shared" si="0"/>
        <v>20</v>
      </c>
      <c r="B23" s="10" t="s">
        <v>58</v>
      </c>
      <c r="C23" s="10" t="s">
        <v>60</v>
      </c>
      <c r="D23" s="11"/>
      <c r="E23" s="11"/>
      <c r="F23" s="11"/>
      <c r="G23" s="11">
        <v>440000</v>
      </c>
      <c r="H23" s="11">
        <v>383000</v>
      </c>
      <c r="I23" s="11">
        <v>331000</v>
      </c>
      <c r="J23" s="11"/>
      <c r="K23" s="11"/>
      <c r="L23" s="11"/>
      <c r="M23" s="11">
        <v>455000</v>
      </c>
      <c r="N23" s="11">
        <v>396000</v>
      </c>
      <c r="O23" s="11">
        <v>342000</v>
      </c>
      <c r="P23" s="11"/>
      <c r="Q23" s="11"/>
      <c r="R23" s="11"/>
      <c r="S23" s="11">
        <v>444000</v>
      </c>
      <c r="T23" s="11">
        <v>386000</v>
      </c>
      <c r="U23" s="11">
        <v>334000</v>
      </c>
      <c r="V23" s="11"/>
      <c r="W23" s="11"/>
      <c r="X23" s="11"/>
      <c r="Y23" s="11">
        <v>431000</v>
      </c>
      <c r="Z23" s="11">
        <v>374000</v>
      </c>
      <c r="AA23" s="11">
        <v>324000</v>
      </c>
      <c r="AB23" s="11"/>
      <c r="AC23" s="11"/>
      <c r="AD23" s="11"/>
      <c r="AE23" s="11">
        <v>431000</v>
      </c>
      <c r="AF23" s="11">
        <v>374000</v>
      </c>
      <c r="AG23" s="11">
        <v>324000</v>
      </c>
    </row>
    <row r="24" spans="1:33" x14ac:dyDescent="0.25">
      <c r="A24" s="9">
        <f t="shared" si="0"/>
        <v>21</v>
      </c>
      <c r="B24" s="10" t="s">
        <v>58</v>
      </c>
      <c r="C24" s="10" t="s">
        <v>61</v>
      </c>
      <c r="D24" s="11"/>
      <c r="E24" s="11"/>
      <c r="F24" s="11"/>
      <c r="G24" s="11">
        <v>543000</v>
      </c>
      <c r="H24" s="11">
        <v>476000</v>
      </c>
      <c r="I24" s="11">
        <v>383000</v>
      </c>
      <c r="J24" s="11"/>
      <c r="K24" s="11"/>
      <c r="L24" s="11"/>
      <c r="M24" s="11">
        <v>561000</v>
      </c>
      <c r="N24" s="11">
        <v>492000</v>
      </c>
      <c r="O24" s="11">
        <v>396000</v>
      </c>
      <c r="P24" s="11"/>
      <c r="Q24" s="11"/>
      <c r="R24" s="11"/>
      <c r="S24" s="11">
        <v>547000</v>
      </c>
      <c r="T24" s="11">
        <v>480000</v>
      </c>
      <c r="U24" s="11">
        <v>386000</v>
      </c>
      <c r="V24" s="11"/>
      <c r="W24" s="11"/>
      <c r="X24" s="11"/>
      <c r="Y24" s="11">
        <v>530000</v>
      </c>
      <c r="Z24" s="11">
        <v>466000</v>
      </c>
      <c r="AA24" s="11">
        <v>374000</v>
      </c>
      <c r="AB24" s="11"/>
      <c r="AC24" s="11"/>
      <c r="AD24" s="11"/>
      <c r="AE24" s="11">
        <v>530000</v>
      </c>
      <c r="AF24" s="11">
        <v>466000</v>
      </c>
      <c r="AG24" s="11">
        <v>374000</v>
      </c>
    </row>
    <row r="25" spans="1:33" x14ac:dyDescent="0.25">
      <c r="A25" s="9">
        <f t="shared" si="0"/>
        <v>22</v>
      </c>
      <c r="B25" s="10" t="s">
        <v>32</v>
      </c>
      <c r="C25" s="10"/>
      <c r="D25" s="11"/>
      <c r="E25" s="11"/>
      <c r="F25" s="11"/>
      <c r="G25" s="11">
        <v>517000</v>
      </c>
      <c r="H25" s="11">
        <v>496000</v>
      </c>
      <c r="I25" s="11">
        <v>383000</v>
      </c>
      <c r="J25" s="11"/>
      <c r="K25" s="11"/>
      <c r="L25" s="11"/>
      <c r="M25" s="11">
        <v>534000</v>
      </c>
      <c r="N25" s="11">
        <v>513000</v>
      </c>
      <c r="O25" s="11">
        <v>396000</v>
      </c>
      <c r="P25" s="11"/>
      <c r="Q25" s="11"/>
      <c r="R25" s="11"/>
      <c r="S25" s="11">
        <v>521000</v>
      </c>
      <c r="T25" s="11">
        <v>500000</v>
      </c>
      <c r="U25" s="11">
        <v>386000</v>
      </c>
      <c r="V25" s="11"/>
      <c r="W25" s="11"/>
      <c r="X25" s="11"/>
      <c r="Y25" s="11">
        <v>505000</v>
      </c>
      <c r="Z25" s="11">
        <v>485000</v>
      </c>
      <c r="AA25" s="11">
        <v>374000</v>
      </c>
      <c r="AB25" s="11"/>
      <c r="AC25" s="11"/>
      <c r="AD25" s="11"/>
      <c r="AE25" s="11">
        <v>505000</v>
      </c>
      <c r="AF25" s="11">
        <v>485000</v>
      </c>
      <c r="AG25" s="11">
        <v>374000</v>
      </c>
    </row>
    <row r="26" spans="1:33" x14ac:dyDescent="0.25">
      <c r="A26" s="9">
        <f t="shared" si="0"/>
        <v>23</v>
      </c>
      <c r="B26" s="10" t="s">
        <v>32</v>
      </c>
      <c r="C26" s="10" t="s">
        <v>62</v>
      </c>
      <c r="D26" s="11"/>
      <c r="E26" s="11"/>
      <c r="F26" s="11"/>
      <c r="G26" s="11">
        <v>569000</v>
      </c>
      <c r="H26" s="11">
        <v>548000</v>
      </c>
      <c r="I26" s="11">
        <v>465000</v>
      </c>
      <c r="J26" s="11"/>
      <c r="K26" s="11"/>
      <c r="L26" s="11"/>
      <c r="M26" s="11">
        <v>588000</v>
      </c>
      <c r="N26" s="11">
        <v>566000</v>
      </c>
      <c r="O26" s="11">
        <v>481000</v>
      </c>
      <c r="P26" s="11"/>
      <c r="Q26" s="11"/>
      <c r="R26" s="11"/>
      <c r="S26" s="11">
        <v>574000</v>
      </c>
      <c r="T26" s="11">
        <v>552000</v>
      </c>
      <c r="U26" s="11">
        <v>469000</v>
      </c>
      <c r="V26" s="11"/>
      <c r="W26" s="11"/>
      <c r="X26" s="11"/>
      <c r="Y26" s="11">
        <v>557000</v>
      </c>
      <c r="Z26" s="11">
        <v>535000</v>
      </c>
      <c r="AA26" s="11">
        <v>455000</v>
      </c>
      <c r="AB26" s="11"/>
      <c r="AC26" s="11"/>
      <c r="AD26" s="11"/>
      <c r="AE26" s="11">
        <v>557000</v>
      </c>
      <c r="AF26" s="11">
        <v>535000</v>
      </c>
      <c r="AG26" s="11">
        <v>455000</v>
      </c>
    </row>
    <row r="27" spans="1:33" x14ac:dyDescent="0.25">
      <c r="A27" s="9">
        <f t="shared" si="0"/>
        <v>24</v>
      </c>
      <c r="B27" s="10" t="s">
        <v>20</v>
      </c>
      <c r="C27" s="10"/>
      <c r="D27" s="11"/>
      <c r="E27" s="11"/>
      <c r="F27" s="11"/>
      <c r="G27" s="11">
        <v>390000</v>
      </c>
      <c r="H27" s="11">
        <v>321000</v>
      </c>
      <c r="I27" s="11">
        <v>259000</v>
      </c>
      <c r="J27" s="11"/>
      <c r="K27" s="11"/>
      <c r="L27" s="11"/>
      <c r="M27" s="11">
        <v>403000</v>
      </c>
      <c r="N27" s="11">
        <v>332000</v>
      </c>
      <c r="O27" s="11">
        <v>268000</v>
      </c>
      <c r="P27" s="11"/>
      <c r="Q27" s="11"/>
      <c r="R27" s="11"/>
      <c r="S27" s="11">
        <v>393000</v>
      </c>
      <c r="T27" s="11">
        <v>324000</v>
      </c>
      <c r="U27" s="11">
        <v>261000</v>
      </c>
      <c r="V27" s="11"/>
      <c r="W27" s="11"/>
      <c r="X27" s="11"/>
      <c r="Y27" s="11">
        <v>381000</v>
      </c>
      <c r="Z27" s="11">
        <v>314000</v>
      </c>
      <c r="AA27" s="11">
        <v>253000</v>
      </c>
      <c r="AB27" s="11"/>
      <c r="AC27" s="11"/>
      <c r="AD27" s="11"/>
      <c r="AE27" s="11">
        <v>381000</v>
      </c>
      <c r="AF27" s="11">
        <v>314000</v>
      </c>
      <c r="AG27" s="11">
        <v>253000</v>
      </c>
    </row>
    <row r="28" spans="1:33" x14ac:dyDescent="0.25">
      <c r="A28" s="9">
        <f t="shared" si="0"/>
        <v>25</v>
      </c>
      <c r="B28" s="10" t="s">
        <v>20</v>
      </c>
      <c r="C28" s="10" t="s">
        <v>63</v>
      </c>
      <c r="D28" s="11"/>
      <c r="E28" s="11"/>
      <c r="F28" s="11"/>
      <c r="G28" s="11">
        <v>409000</v>
      </c>
      <c r="H28" s="11">
        <v>393000</v>
      </c>
      <c r="I28" s="11">
        <v>279000</v>
      </c>
      <c r="J28" s="11"/>
      <c r="K28" s="11"/>
      <c r="L28" s="11"/>
      <c r="M28" s="11">
        <v>423000</v>
      </c>
      <c r="N28" s="11">
        <v>406000</v>
      </c>
      <c r="O28" s="11">
        <v>288000</v>
      </c>
      <c r="P28" s="11"/>
      <c r="Q28" s="11"/>
      <c r="R28" s="11"/>
      <c r="S28" s="11">
        <v>413000</v>
      </c>
      <c r="T28" s="11">
        <v>396000</v>
      </c>
      <c r="U28" s="11">
        <v>281000</v>
      </c>
      <c r="V28" s="11"/>
      <c r="W28" s="11"/>
      <c r="X28" s="11"/>
      <c r="Y28" s="11">
        <v>401000</v>
      </c>
      <c r="Z28" s="11">
        <v>384000</v>
      </c>
      <c r="AA28" s="11">
        <v>273000</v>
      </c>
      <c r="AB28" s="11"/>
      <c r="AC28" s="11"/>
      <c r="AD28" s="11"/>
      <c r="AE28" s="11">
        <v>401000</v>
      </c>
      <c r="AF28" s="11">
        <v>384000</v>
      </c>
      <c r="AG28" s="11">
        <v>273000</v>
      </c>
    </row>
    <row r="29" spans="1:33" x14ac:dyDescent="0.25">
      <c r="A29" s="9">
        <f t="shared" si="0"/>
        <v>26</v>
      </c>
      <c r="B29" s="10" t="s">
        <v>20</v>
      </c>
      <c r="C29" s="10" t="s">
        <v>64</v>
      </c>
      <c r="D29" s="11"/>
      <c r="E29" s="11"/>
      <c r="F29" s="11"/>
      <c r="G29" s="11">
        <v>434000</v>
      </c>
      <c r="H29" s="11">
        <v>372000</v>
      </c>
      <c r="I29" s="11">
        <v>279000</v>
      </c>
      <c r="J29" s="11"/>
      <c r="K29" s="11"/>
      <c r="L29" s="11"/>
      <c r="M29" s="11">
        <v>449000</v>
      </c>
      <c r="N29" s="11">
        <v>384000</v>
      </c>
      <c r="O29" s="11">
        <v>288000</v>
      </c>
      <c r="P29" s="11"/>
      <c r="Q29" s="11"/>
      <c r="R29" s="11"/>
      <c r="S29" s="11">
        <v>438000</v>
      </c>
      <c r="T29" s="11">
        <v>375000</v>
      </c>
      <c r="U29" s="11">
        <v>281000</v>
      </c>
      <c r="V29" s="11"/>
      <c r="W29" s="11"/>
      <c r="X29" s="11"/>
      <c r="Y29" s="11">
        <v>425000</v>
      </c>
      <c r="Z29" s="11">
        <v>364000</v>
      </c>
      <c r="AA29" s="11">
        <v>273000</v>
      </c>
      <c r="AB29" s="11"/>
      <c r="AC29" s="11"/>
      <c r="AD29" s="11"/>
      <c r="AE29" s="11">
        <v>425000</v>
      </c>
      <c r="AF29" s="11">
        <v>364000</v>
      </c>
      <c r="AG29" s="11">
        <v>273000</v>
      </c>
    </row>
    <row r="30" spans="1:33" x14ac:dyDescent="0.25">
      <c r="A30" s="9">
        <f t="shared" si="0"/>
        <v>27</v>
      </c>
      <c r="B30" s="10" t="s">
        <v>15</v>
      </c>
      <c r="C30" s="10"/>
      <c r="D30" s="11"/>
      <c r="E30" s="11"/>
      <c r="F30" s="11"/>
      <c r="G30" s="11">
        <v>1220000</v>
      </c>
      <c r="H30" s="11">
        <v>1138000</v>
      </c>
      <c r="I30" s="11">
        <v>1034000</v>
      </c>
      <c r="J30" s="11"/>
      <c r="K30" s="11"/>
      <c r="L30" s="11"/>
      <c r="M30" s="11">
        <v>1261000</v>
      </c>
      <c r="N30" s="11">
        <v>1176000</v>
      </c>
      <c r="O30" s="11">
        <v>1069000</v>
      </c>
      <c r="P30" s="11"/>
      <c r="Q30" s="11"/>
      <c r="R30" s="11"/>
      <c r="S30" s="11">
        <v>1230000</v>
      </c>
      <c r="T30" s="11">
        <v>1147000</v>
      </c>
      <c r="U30" s="11">
        <v>1043000</v>
      </c>
      <c r="V30" s="11"/>
      <c r="W30" s="11"/>
      <c r="X30" s="11"/>
      <c r="Y30" s="11">
        <v>1193000</v>
      </c>
      <c r="Z30" s="11">
        <v>1112000</v>
      </c>
      <c r="AA30" s="11">
        <v>1012000</v>
      </c>
      <c r="AB30" s="11"/>
      <c r="AC30" s="11"/>
      <c r="AD30" s="11"/>
      <c r="AE30" s="11">
        <v>1193000</v>
      </c>
      <c r="AF30" s="11">
        <v>1112000</v>
      </c>
      <c r="AG30" s="11">
        <v>1012000</v>
      </c>
    </row>
    <row r="31" spans="1:33" x14ac:dyDescent="0.25">
      <c r="A31" s="9">
        <f t="shared" si="0"/>
        <v>28</v>
      </c>
      <c r="B31" s="10" t="s">
        <v>65</v>
      </c>
      <c r="C31" s="10"/>
      <c r="D31" s="11"/>
      <c r="E31" s="11"/>
      <c r="F31" s="11"/>
      <c r="G31" s="11">
        <v>672000</v>
      </c>
      <c r="H31" s="11">
        <v>559000</v>
      </c>
      <c r="I31" s="11">
        <v>496000</v>
      </c>
      <c r="J31" s="11"/>
      <c r="K31" s="11"/>
      <c r="L31" s="11"/>
      <c r="M31" s="11">
        <v>695000</v>
      </c>
      <c r="N31" s="11">
        <v>578000</v>
      </c>
      <c r="O31" s="11">
        <v>513000</v>
      </c>
      <c r="P31" s="11"/>
      <c r="Q31" s="11"/>
      <c r="R31" s="11"/>
      <c r="S31" s="11">
        <v>678000</v>
      </c>
      <c r="T31" s="11">
        <v>564000</v>
      </c>
      <c r="U31" s="11">
        <v>500000</v>
      </c>
      <c r="V31" s="11"/>
      <c r="W31" s="11"/>
      <c r="X31" s="11"/>
      <c r="Y31" s="11">
        <v>658000</v>
      </c>
      <c r="Z31" s="11">
        <v>547000</v>
      </c>
      <c r="AA31" s="11">
        <v>485000</v>
      </c>
      <c r="AB31" s="11"/>
      <c r="AC31" s="11"/>
      <c r="AD31" s="11"/>
      <c r="AE31" s="11">
        <v>658000</v>
      </c>
      <c r="AF31" s="11">
        <v>547000</v>
      </c>
      <c r="AG31" s="11">
        <v>485000</v>
      </c>
    </row>
    <row r="32" spans="1:33" x14ac:dyDescent="0.25">
      <c r="A32" s="9">
        <f t="shared" si="0"/>
        <v>29</v>
      </c>
      <c r="B32" s="10" t="s">
        <v>65</v>
      </c>
      <c r="C32" s="10" t="s">
        <v>66</v>
      </c>
      <c r="D32" s="11"/>
      <c r="E32" s="11"/>
      <c r="F32" s="11"/>
      <c r="G32" s="11">
        <v>724000</v>
      </c>
      <c r="H32" s="11">
        <v>600000</v>
      </c>
      <c r="I32" s="11">
        <v>507000</v>
      </c>
      <c r="J32" s="11"/>
      <c r="K32" s="11"/>
      <c r="L32" s="11"/>
      <c r="M32" s="11">
        <v>748000</v>
      </c>
      <c r="N32" s="11">
        <v>620000</v>
      </c>
      <c r="O32" s="11">
        <v>524000</v>
      </c>
      <c r="P32" s="11"/>
      <c r="Q32" s="11"/>
      <c r="R32" s="11"/>
      <c r="S32" s="11">
        <v>730000</v>
      </c>
      <c r="T32" s="11">
        <v>605000</v>
      </c>
      <c r="U32" s="11">
        <v>511000</v>
      </c>
      <c r="V32" s="11"/>
      <c r="W32" s="11"/>
      <c r="X32" s="11"/>
      <c r="Y32" s="11">
        <v>708000</v>
      </c>
      <c r="Z32" s="11">
        <v>587000</v>
      </c>
      <c r="AA32" s="11">
        <v>496000</v>
      </c>
      <c r="AB32" s="11"/>
      <c r="AC32" s="11"/>
      <c r="AD32" s="11"/>
      <c r="AE32" s="11">
        <v>708000</v>
      </c>
      <c r="AF32" s="11">
        <v>587000</v>
      </c>
      <c r="AG32" s="11">
        <v>496000</v>
      </c>
    </row>
    <row r="33" spans="1:33" x14ac:dyDescent="0.25">
      <c r="A33" s="9">
        <f t="shared" si="0"/>
        <v>30</v>
      </c>
      <c r="B33" s="10" t="s">
        <v>67</v>
      </c>
      <c r="C33" s="10"/>
      <c r="D33" s="11"/>
      <c r="E33" s="11"/>
      <c r="F33" s="11"/>
      <c r="G33" s="11">
        <v>621000</v>
      </c>
      <c r="H33" s="11">
        <v>517000</v>
      </c>
      <c r="I33" s="11">
        <v>445000</v>
      </c>
      <c r="J33" s="11"/>
      <c r="K33" s="11"/>
      <c r="L33" s="11"/>
      <c r="M33" s="11">
        <v>642000</v>
      </c>
      <c r="N33" s="11">
        <v>534000</v>
      </c>
      <c r="O33" s="11">
        <v>460000</v>
      </c>
      <c r="P33" s="11"/>
      <c r="Q33" s="11"/>
      <c r="R33" s="11"/>
      <c r="S33" s="11">
        <v>626000</v>
      </c>
      <c r="T33" s="11">
        <v>521000</v>
      </c>
      <c r="U33" s="11">
        <v>449000</v>
      </c>
      <c r="V33" s="11"/>
      <c r="W33" s="11"/>
      <c r="X33" s="11"/>
      <c r="Y33" s="11">
        <v>607000</v>
      </c>
      <c r="Z33" s="11">
        <v>505000</v>
      </c>
      <c r="AA33" s="11">
        <v>435000</v>
      </c>
      <c r="AB33" s="11"/>
      <c r="AC33" s="11"/>
      <c r="AD33" s="11"/>
      <c r="AE33" s="11">
        <v>607000</v>
      </c>
      <c r="AF33" s="11">
        <v>505000</v>
      </c>
      <c r="AG33" s="11">
        <v>435000</v>
      </c>
    </row>
    <row r="34" spans="1:33" x14ac:dyDescent="0.25">
      <c r="A34" s="9">
        <f t="shared" si="0"/>
        <v>31</v>
      </c>
      <c r="B34" s="10" t="s">
        <v>67</v>
      </c>
      <c r="C34" s="10" t="s">
        <v>68</v>
      </c>
      <c r="D34" s="11"/>
      <c r="E34" s="11"/>
      <c r="F34" s="11"/>
      <c r="G34" s="11">
        <v>672000</v>
      </c>
      <c r="H34" s="11">
        <v>538000</v>
      </c>
      <c r="I34" s="11">
        <v>465000</v>
      </c>
      <c r="J34" s="11"/>
      <c r="K34" s="11"/>
      <c r="L34" s="11"/>
      <c r="M34" s="11">
        <v>695000</v>
      </c>
      <c r="N34" s="11">
        <v>556000</v>
      </c>
      <c r="O34" s="11">
        <v>481000</v>
      </c>
      <c r="P34" s="11"/>
      <c r="Q34" s="11"/>
      <c r="R34" s="11"/>
      <c r="S34" s="11">
        <v>678000</v>
      </c>
      <c r="T34" s="11">
        <v>542000</v>
      </c>
      <c r="U34" s="11">
        <v>469000</v>
      </c>
      <c r="V34" s="11"/>
      <c r="W34" s="11"/>
      <c r="X34" s="11"/>
      <c r="Y34" s="11">
        <v>658000</v>
      </c>
      <c r="Z34" s="11">
        <v>526000</v>
      </c>
      <c r="AA34" s="11">
        <v>455000</v>
      </c>
      <c r="AB34" s="11"/>
      <c r="AC34" s="11"/>
      <c r="AD34" s="11"/>
      <c r="AE34" s="11">
        <v>658000</v>
      </c>
      <c r="AF34" s="11">
        <v>526000</v>
      </c>
      <c r="AG34" s="11">
        <v>455000</v>
      </c>
    </row>
    <row r="35" spans="1:33" x14ac:dyDescent="0.25">
      <c r="A35" s="9">
        <f t="shared" si="0"/>
        <v>32</v>
      </c>
      <c r="B35" s="10" t="s">
        <v>69</v>
      </c>
      <c r="C35" s="10" t="s">
        <v>70</v>
      </c>
      <c r="D35" s="11">
        <v>1138000</v>
      </c>
      <c r="E35" s="11"/>
      <c r="F35" s="11"/>
      <c r="G35" s="11">
        <v>290000</v>
      </c>
      <c r="H35" s="11">
        <v>248000</v>
      </c>
      <c r="I35" s="11">
        <v>238000</v>
      </c>
      <c r="J35" s="11">
        <v>1176000</v>
      </c>
      <c r="K35" s="11"/>
      <c r="L35" s="11"/>
      <c r="M35" s="11">
        <v>300000</v>
      </c>
      <c r="N35" s="11">
        <v>256000</v>
      </c>
      <c r="O35" s="11">
        <v>246000</v>
      </c>
      <c r="P35" s="11">
        <v>1147000</v>
      </c>
      <c r="Q35" s="11"/>
      <c r="R35" s="11"/>
      <c r="S35" s="11">
        <v>293000</v>
      </c>
      <c r="T35" s="11">
        <v>250000</v>
      </c>
      <c r="U35" s="11">
        <v>240000</v>
      </c>
      <c r="V35" s="11">
        <v>1112000</v>
      </c>
      <c r="W35" s="11"/>
      <c r="X35" s="11"/>
      <c r="Y35" s="11">
        <v>284000</v>
      </c>
      <c r="Z35" s="11">
        <v>242000</v>
      </c>
      <c r="AA35" s="11">
        <v>233000</v>
      </c>
      <c r="AB35" s="11">
        <v>1112000</v>
      </c>
      <c r="AC35" s="11"/>
      <c r="AD35" s="11"/>
      <c r="AE35" s="11">
        <v>284000</v>
      </c>
      <c r="AF35" s="11">
        <v>242000</v>
      </c>
      <c r="AG35" s="11">
        <v>233000</v>
      </c>
    </row>
    <row r="36" spans="1:33" x14ac:dyDescent="0.25">
      <c r="A36" s="9">
        <f t="shared" si="0"/>
        <v>33</v>
      </c>
      <c r="B36" s="10" t="s">
        <v>69</v>
      </c>
      <c r="C36" s="10" t="s">
        <v>71</v>
      </c>
      <c r="D36" s="11"/>
      <c r="E36" s="11"/>
      <c r="F36" s="11"/>
      <c r="G36" s="11">
        <v>352000</v>
      </c>
      <c r="H36" s="11">
        <v>290000</v>
      </c>
      <c r="I36" s="11">
        <v>279000</v>
      </c>
      <c r="J36" s="11"/>
      <c r="K36" s="11"/>
      <c r="L36" s="11"/>
      <c r="M36" s="11">
        <v>364000</v>
      </c>
      <c r="N36" s="11">
        <v>300000</v>
      </c>
      <c r="O36" s="11">
        <v>288000</v>
      </c>
      <c r="P36" s="11"/>
      <c r="Q36" s="11"/>
      <c r="R36" s="11"/>
      <c r="S36" s="11">
        <v>355000</v>
      </c>
      <c r="T36" s="11">
        <v>293000</v>
      </c>
      <c r="U36" s="11">
        <v>281000</v>
      </c>
      <c r="V36" s="11"/>
      <c r="W36" s="11"/>
      <c r="X36" s="11"/>
      <c r="Y36" s="11">
        <v>344000</v>
      </c>
      <c r="Z36" s="11">
        <v>284000</v>
      </c>
      <c r="AA36" s="11">
        <v>273000</v>
      </c>
      <c r="AB36" s="11"/>
      <c r="AC36" s="11"/>
      <c r="AD36" s="11"/>
      <c r="AE36" s="11">
        <v>344000</v>
      </c>
      <c r="AF36" s="11">
        <v>284000</v>
      </c>
      <c r="AG36" s="11">
        <v>273000</v>
      </c>
    </row>
    <row r="37" spans="1:33" x14ac:dyDescent="0.25">
      <c r="A37" s="9">
        <f t="shared" si="0"/>
        <v>34</v>
      </c>
      <c r="B37" s="10" t="s">
        <v>69</v>
      </c>
      <c r="C37" s="10" t="s">
        <v>72</v>
      </c>
      <c r="D37" s="11"/>
      <c r="E37" s="11"/>
      <c r="F37" s="11"/>
      <c r="G37" s="11">
        <v>414000</v>
      </c>
      <c r="H37" s="11">
        <v>393000</v>
      </c>
      <c r="I37" s="11">
        <v>383000</v>
      </c>
      <c r="J37" s="11"/>
      <c r="K37" s="11"/>
      <c r="L37" s="11"/>
      <c r="M37" s="11">
        <v>428000</v>
      </c>
      <c r="N37" s="11">
        <v>406000</v>
      </c>
      <c r="O37" s="11">
        <v>396000</v>
      </c>
      <c r="P37" s="11"/>
      <c r="Q37" s="11"/>
      <c r="R37" s="11"/>
      <c r="S37" s="11">
        <v>417000</v>
      </c>
      <c r="T37" s="11">
        <v>396000</v>
      </c>
      <c r="U37" s="11">
        <v>386000</v>
      </c>
      <c r="V37" s="11"/>
      <c r="W37" s="11"/>
      <c r="X37" s="11"/>
      <c r="Y37" s="11">
        <v>404000</v>
      </c>
      <c r="Z37" s="11">
        <v>384000</v>
      </c>
      <c r="AA37" s="11">
        <v>374000</v>
      </c>
      <c r="AB37" s="11"/>
      <c r="AC37" s="11"/>
      <c r="AD37" s="11"/>
      <c r="AE37" s="11">
        <v>404000</v>
      </c>
      <c r="AF37" s="11">
        <v>384000</v>
      </c>
      <c r="AG37" s="11">
        <v>374000</v>
      </c>
    </row>
    <row r="38" spans="1:33" x14ac:dyDescent="0.25">
      <c r="A38" s="9">
        <f t="shared" si="0"/>
        <v>35</v>
      </c>
      <c r="B38" s="10" t="s">
        <v>69</v>
      </c>
      <c r="C38" s="10" t="s">
        <v>73</v>
      </c>
      <c r="D38" s="11"/>
      <c r="E38" s="11"/>
      <c r="F38" s="11"/>
      <c r="G38" s="11">
        <v>352000</v>
      </c>
      <c r="H38" s="11">
        <v>290000</v>
      </c>
      <c r="I38" s="11">
        <v>279000</v>
      </c>
      <c r="J38" s="11"/>
      <c r="K38" s="11"/>
      <c r="L38" s="11"/>
      <c r="M38" s="11">
        <v>364000</v>
      </c>
      <c r="N38" s="11">
        <v>300000</v>
      </c>
      <c r="O38" s="11">
        <v>288000</v>
      </c>
      <c r="P38" s="11"/>
      <c r="Q38" s="11"/>
      <c r="R38" s="11"/>
      <c r="S38" s="11">
        <v>355000</v>
      </c>
      <c r="T38" s="11">
        <v>293000</v>
      </c>
      <c r="U38" s="11">
        <v>281000</v>
      </c>
      <c r="V38" s="11"/>
      <c r="W38" s="11"/>
      <c r="X38" s="11"/>
      <c r="Y38" s="11">
        <v>344000</v>
      </c>
      <c r="Z38" s="11">
        <v>284000</v>
      </c>
      <c r="AA38" s="11">
        <v>273000</v>
      </c>
      <c r="AB38" s="11"/>
      <c r="AC38" s="11"/>
      <c r="AD38" s="11"/>
      <c r="AE38" s="11">
        <v>344000</v>
      </c>
      <c r="AF38" s="11">
        <v>284000</v>
      </c>
      <c r="AG38" s="11">
        <v>273000</v>
      </c>
    </row>
    <row r="39" spans="1:33" x14ac:dyDescent="0.25">
      <c r="A39" s="9">
        <f t="shared" si="0"/>
        <v>36</v>
      </c>
      <c r="B39" s="10" t="s">
        <v>69</v>
      </c>
      <c r="C39" s="10" t="s">
        <v>74</v>
      </c>
      <c r="D39" s="11">
        <v>1138000</v>
      </c>
      <c r="E39" s="11"/>
      <c r="F39" s="11"/>
      <c r="G39" s="11">
        <v>290000</v>
      </c>
      <c r="H39" s="11">
        <v>248000</v>
      </c>
      <c r="I39" s="11">
        <v>238000</v>
      </c>
      <c r="J39" s="11">
        <v>1176000</v>
      </c>
      <c r="K39" s="11"/>
      <c r="L39" s="11"/>
      <c r="M39" s="11">
        <v>300000</v>
      </c>
      <c r="N39" s="11">
        <v>256000</v>
      </c>
      <c r="O39" s="11">
        <v>246000</v>
      </c>
      <c r="P39" s="11">
        <v>1147000</v>
      </c>
      <c r="Q39" s="11"/>
      <c r="R39" s="11"/>
      <c r="S39" s="11">
        <v>293000</v>
      </c>
      <c r="T39" s="11">
        <v>250000</v>
      </c>
      <c r="U39" s="11">
        <v>240000</v>
      </c>
      <c r="V39" s="11">
        <v>1112000</v>
      </c>
      <c r="W39" s="11"/>
      <c r="X39" s="11"/>
      <c r="Y39" s="11">
        <v>284000</v>
      </c>
      <c r="Z39" s="11">
        <v>242000</v>
      </c>
      <c r="AA39" s="11">
        <v>233000</v>
      </c>
      <c r="AB39" s="11">
        <v>1112000</v>
      </c>
      <c r="AC39" s="11"/>
      <c r="AD39" s="11"/>
      <c r="AE39" s="11">
        <v>284000</v>
      </c>
      <c r="AF39" s="11">
        <v>242000</v>
      </c>
      <c r="AG39" s="11">
        <v>233000</v>
      </c>
    </row>
    <row r="40" spans="1:33" x14ac:dyDescent="0.25">
      <c r="A40" s="9">
        <f t="shared" si="0"/>
        <v>37</v>
      </c>
      <c r="B40" s="10" t="s">
        <v>69</v>
      </c>
      <c r="C40" s="10" t="s">
        <v>75</v>
      </c>
      <c r="D40" s="11">
        <v>1138000</v>
      </c>
      <c r="E40" s="11"/>
      <c r="F40" s="11"/>
      <c r="G40" s="11">
        <v>290000</v>
      </c>
      <c r="H40" s="11">
        <v>248000</v>
      </c>
      <c r="I40" s="11">
        <v>238000</v>
      </c>
      <c r="J40" s="11">
        <v>1176000</v>
      </c>
      <c r="K40" s="11"/>
      <c r="L40" s="11"/>
      <c r="M40" s="11">
        <v>300000</v>
      </c>
      <c r="N40" s="11">
        <v>256000</v>
      </c>
      <c r="O40" s="11">
        <v>246000</v>
      </c>
      <c r="P40" s="11">
        <v>1147000</v>
      </c>
      <c r="Q40" s="11"/>
      <c r="R40" s="11"/>
      <c r="S40" s="11">
        <v>293000</v>
      </c>
      <c r="T40" s="11">
        <v>250000</v>
      </c>
      <c r="U40" s="11">
        <v>240000</v>
      </c>
      <c r="V40" s="11">
        <v>1112000</v>
      </c>
      <c r="W40" s="11"/>
      <c r="X40" s="11"/>
      <c r="Y40" s="11">
        <v>284000</v>
      </c>
      <c r="Z40" s="11">
        <v>242000</v>
      </c>
      <c r="AA40" s="11">
        <v>233000</v>
      </c>
      <c r="AB40" s="11">
        <v>1167000</v>
      </c>
      <c r="AC40" s="11">
        <v>0</v>
      </c>
      <c r="AD40" s="11">
        <v>0</v>
      </c>
      <c r="AE40" s="11">
        <v>298000</v>
      </c>
      <c r="AF40" s="11">
        <v>254000</v>
      </c>
      <c r="AG40" s="11">
        <v>245000</v>
      </c>
    </row>
    <row r="41" spans="1:33" x14ac:dyDescent="0.25">
      <c r="A41" s="9">
        <f t="shared" si="0"/>
        <v>38</v>
      </c>
      <c r="B41" s="10" t="s">
        <v>69</v>
      </c>
      <c r="C41" s="10" t="s">
        <v>76</v>
      </c>
      <c r="D41" s="11"/>
      <c r="E41" s="11"/>
      <c r="F41" s="11"/>
      <c r="G41" s="11">
        <v>414000</v>
      </c>
      <c r="H41" s="11">
        <v>393000</v>
      </c>
      <c r="I41" s="11">
        <v>383000</v>
      </c>
      <c r="J41" s="11"/>
      <c r="K41" s="11"/>
      <c r="L41" s="11"/>
      <c r="M41" s="11">
        <v>428000</v>
      </c>
      <c r="N41" s="11">
        <v>406000</v>
      </c>
      <c r="O41" s="11">
        <v>396000</v>
      </c>
      <c r="P41" s="11"/>
      <c r="Q41" s="11"/>
      <c r="R41" s="11"/>
      <c r="S41" s="11">
        <v>417000</v>
      </c>
      <c r="T41" s="11">
        <v>396000</v>
      </c>
      <c r="U41" s="11">
        <v>386000</v>
      </c>
      <c r="V41" s="11"/>
      <c r="W41" s="11"/>
      <c r="X41" s="11"/>
      <c r="Y41" s="11">
        <v>404000</v>
      </c>
      <c r="Z41" s="11">
        <v>384000</v>
      </c>
      <c r="AA41" s="11">
        <v>374000</v>
      </c>
      <c r="AB41" s="11">
        <v>0</v>
      </c>
      <c r="AC41" s="11">
        <v>0</v>
      </c>
      <c r="AD41" s="11">
        <v>0</v>
      </c>
      <c r="AE41" s="11">
        <v>424000</v>
      </c>
      <c r="AF41" s="11">
        <v>403000</v>
      </c>
      <c r="AG41" s="11">
        <v>393000</v>
      </c>
    </row>
    <row r="42" spans="1:33" x14ac:dyDescent="0.25">
      <c r="A42" s="9">
        <f t="shared" si="0"/>
        <v>39</v>
      </c>
      <c r="B42" s="10" t="s">
        <v>69</v>
      </c>
      <c r="C42" s="10" t="s">
        <v>77</v>
      </c>
      <c r="D42" s="11"/>
      <c r="E42" s="11"/>
      <c r="F42" s="11"/>
      <c r="G42" s="11">
        <v>352000</v>
      </c>
      <c r="H42" s="11">
        <v>290000</v>
      </c>
      <c r="I42" s="11">
        <v>279000</v>
      </c>
      <c r="J42" s="11"/>
      <c r="K42" s="11"/>
      <c r="L42" s="11"/>
      <c r="M42" s="11">
        <v>364000</v>
      </c>
      <c r="N42" s="11">
        <v>300000</v>
      </c>
      <c r="O42" s="11">
        <v>288000</v>
      </c>
      <c r="P42" s="11"/>
      <c r="Q42" s="11"/>
      <c r="R42" s="11"/>
      <c r="S42" s="11">
        <v>355000</v>
      </c>
      <c r="T42" s="11">
        <v>293000</v>
      </c>
      <c r="U42" s="11">
        <v>281000</v>
      </c>
      <c r="V42" s="11"/>
      <c r="W42" s="11"/>
      <c r="X42" s="11"/>
      <c r="Y42" s="11">
        <v>344000</v>
      </c>
      <c r="Z42" s="11">
        <v>284000</v>
      </c>
      <c r="AA42" s="11">
        <v>273000</v>
      </c>
      <c r="AB42" s="11">
        <v>0</v>
      </c>
      <c r="AC42" s="11">
        <v>0</v>
      </c>
      <c r="AD42" s="11">
        <v>0</v>
      </c>
      <c r="AE42" s="11">
        <v>361000</v>
      </c>
      <c r="AF42" s="11">
        <v>298000</v>
      </c>
      <c r="AG42" s="11">
        <v>287000</v>
      </c>
    </row>
    <row r="43" spans="1:33" x14ac:dyDescent="0.25">
      <c r="A43" s="9">
        <f t="shared" si="0"/>
        <v>40</v>
      </c>
      <c r="B43" s="10" t="s">
        <v>69</v>
      </c>
      <c r="C43" s="10" t="s">
        <v>78</v>
      </c>
      <c r="D43" s="11"/>
      <c r="E43" s="11"/>
      <c r="F43" s="11"/>
      <c r="G43" s="11">
        <v>414000</v>
      </c>
      <c r="H43" s="11">
        <v>393000</v>
      </c>
      <c r="I43" s="11">
        <v>383000</v>
      </c>
      <c r="J43" s="11"/>
      <c r="K43" s="11"/>
      <c r="L43" s="11"/>
      <c r="M43" s="11">
        <v>428000</v>
      </c>
      <c r="N43" s="11">
        <v>406000</v>
      </c>
      <c r="O43" s="11">
        <v>396000</v>
      </c>
      <c r="P43" s="11"/>
      <c r="Q43" s="11"/>
      <c r="R43" s="11"/>
      <c r="S43" s="11">
        <v>417000</v>
      </c>
      <c r="T43" s="11">
        <v>396000</v>
      </c>
      <c r="U43" s="11">
        <v>386000</v>
      </c>
      <c r="V43" s="11"/>
      <c r="W43" s="11"/>
      <c r="X43" s="11"/>
      <c r="Y43" s="11">
        <v>404000</v>
      </c>
      <c r="Z43" s="11">
        <v>384000</v>
      </c>
      <c r="AA43" s="11">
        <v>374000</v>
      </c>
      <c r="AB43" s="11">
        <v>0</v>
      </c>
      <c r="AC43" s="11">
        <v>0</v>
      </c>
      <c r="AD43" s="11">
        <v>0</v>
      </c>
      <c r="AE43" s="11">
        <v>424000</v>
      </c>
      <c r="AF43" s="11">
        <v>403000</v>
      </c>
      <c r="AG43" s="11">
        <v>393000</v>
      </c>
    </row>
    <row r="44" spans="1:33" x14ac:dyDescent="0.25">
      <c r="A44" s="9">
        <f t="shared" si="0"/>
        <v>41</v>
      </c>
      <c r="B44" s="10" t="s">
        <v>79</v>
      </c>
      <c r="C44" s="10" t="s">
        <v>80</v>
      </c>
      <c r="D44" s="11"/>
      <c r="E44" s="11"/>
      <c r="F44" s="11"/>
      <c r="G44" s="11">
        <v>372000</v>
      </c>
      <c r="H44" s="11">
        <v>290000</v>
      </c>
      <c r="I44" s="11">
        <v>259000</v>
      </c>
      <c r="J44" s="11"/>
      <c r="K44" s="11"/>
      <c r="L44" s="11"/>
      <c r="M44" s="11">
        <v>384000</v>
      </c>
      <c r="N44" s="11">
        <v>300000</v>
      </c>
      <c r="O44" s="11">
        <v>268000</v>
      </c>
      <c r="P44" s="11"/>
      <c r="Q44" s="11"/>
      <c r="R44" s="11"/>
      <c r="S44" s="11">
        <v>375000</v>
      </c>
      <c r="T44" s="11">
        <v>293000</v>
      </c>
      <c r="U44" s="11">
        <v>261000</v>
      </c>
      <c r="V44" s="11"/>
      <c r="W44" s="11"/>
      <c r="X44" s="11"/>
      <c r="Y44" s="11">
        <v>364000</v>
      </c>
      <c r="Z44" s="11">
        <v>284000</v>
      </c>
      <c r="AA44" s="11">
        <v>253000</v>
      </c>
      <c r="AB44" s="11">
        <v>0</v>
      </c>
      <c r="AC44" s="11">
        <v>0</v>
      </c>
      <c r="AD44" s="11">
        <v>0</v>
      </c>
      <c r="AE44" s="11">
        <v>382000</v>
      </c>
      <c r="AF44" s="11">
        <v>298000</v>
      </c>
      <c r="AG44" s="11">
        <v>266000</v>
      </c>
    </row>
    <row r="45" spans="1:33" x14ac:dyDescent="0.25">
      <c r="A45" s="9">
        <f t="shared" si="0"/>
        <v>42</v>
      </c>
      <c r="B45" s="10" t="s">
        <v>79</v>
      </c>
      <c r="C45" s="10" t="s">
        <v>81</v>
      </c>
      <c r="D45" s="11"/>
      <c r="E45" s="11"/>
      <c r="F45" s="11"/>
      <c r="G45" s="11">
        <v>414000</v>
      </c>
      <c r="H45" s="11">
        <v>352000</v>
      </c>
      <c r="I45" s="11">
        <v>290000</v>
      </c>
      <c r="J45" s="11"/>
      <c r="K45" s="11"/>
      <c r="L45" s="11"/>
      <c r="M45" s="11">
        <v>428000</v>
      </c>
      <c r="N45" s="11">
        <v>364000</v>
      </c>
      <c r="O45" s="11">
        <v>300000</v>
      </c>
      <c r="P45" s="11"/>
      <c r="Q45" s="11"/>
      <c r="R45" s="11"/>
      <c r="S45" s="11">
        <v>417000</v>
      </c>
      <c r="T45" s="11">
        <v>355000</v>
      </c>
      <c r="U45" s="11">
        <v>293000</v>
      </c>
      <c r="V45" s="11"/>
      <c r="W45" s="11"/>
      <c r="X45" s="11"/>
      <c r="Y45" s="11">
        <v>404000</v>
      </c>
      <c r="Z45" s="11">
        <v>344000</v>
      </c>
      <c r="AA45" s="11">
        <v>284000</v>
      </c>
      <c r="AB45" s="11">
        <v>0</v>
      </c>
      <c r="AC45" s="11">
        <v>0</v>
      </c>
      <c r="AD45" s="11">
        <v>0</v>
      </c>
      <c r="AE45" s="11">
        <v>424000</v>
      </c>
      <c r="AF45" s="11">
        <v>361000</v>
      </c>
      <c r="AG45" s="11">
        <v>298000</v>
      </c>
    </row>
    <row r="46" spans="1:33" x14ac:dyDescent="0.25">
      <c r="A46" s="9">
        <f t="shared" si="0"/>
        <v>43</v>
      </c>
      <c r="B46" s="10" t="s">
        <v>79</v>
      </c>
      <c r="C46" s="10" t="s">
        <v>82</v>
      </c>
      <c r="D46" s="11"/>
      <c r="E46" s="11"/>
      <c r="F46" s="11"/>
      <c r="G46" s="11">
        <v>331000</v>
      </c>
      <c r="H46" s="11">
        <v>290000</v>
      </c>
      <c r="I46" s="11">
        <v>248000</v>
      </c>
      <c r="J46" s="11"/>
      <c r="K46" s="11"/>
      <c r="L46" s="11"/>
      <c r="M46" s="11">
        <v>342000</v>
      </c>
      <c r="N46" s="11">
        <v>300000</v>
      </c>
      <c r="O46" s="11">
        <v>256000</v>
      </c>
      <c r="P46" s="11"/>
      <c r="Q46" s="11"/>
      <c r="R46" s="11"/>
      <c r="S46" s="11">
        <v>334000</v>
      </c>
      <c r="T46" s="11">
        <v>293000</v>
      </c>
      <c r="U46" s="11">
        <v>250000</v>
      </c>
      <c r="V46" s="11"/>
      <c r="W46" s="11"/>
      <c r="X46" s="11"/>
      <c r="Y46" s="11">
        <v>324000</v>
      </c>
      <c r="Z46" s="11">
        <v>284000</v>
      </c>
      <c r="AA46" s="11">
        <v>242000</v>
      </c>
      <c r="AB46" s="11">
        <v>0</v>
      </c>
      <c r="AC46" s="11">
        <v>0</v>
      </c>
      <c r="AD46" s="11">
        <v>0</v>
      </c>
      <c r="AE46" s="11">
        <v>340000</v>
      </c>
      <c r="AF46" s="11">
        <v>298000</v>
      </c>
      <c r="AG46" s="11">
        <v>254000</v>
      </c>
    </row>
    <row r="47" spans="1:33" x14ac:dyDescent="0.25">
      <c r="A47" s="9">
        <f t="shared" si="0"/>
        <v>44</v>
      </c>
      <c r="B47" s="10" t="s">
        <v>83</v>
      </c>
      <c r="C47" s="10" t="s">
        <v>84</v>
      </c>
      <c r="D47" s="11"/>
      <c r="E47" s="11"/>
      <c r="F47" s="11"/>
      <c r="G47" s="11">
        <v>931000</v>
      </c>
      <c r="H47" s="11">
        <v>827000</v>
      </c>
      <c r="I47" s="11">
        <v>724000</v>
      </c>
      <c r="J47" s="11"/>
      <c r="K47" s="11"/>
      <c r="L47" s="11"/>
      <c r="M47" s="11">
        <v>962000</v>
      </c>
      <c r="N47" s="11">
        <v>855000</v>
      </c>
      <c r="O47" s="11">
        <v>748000</v>
      </c>
      <c r="P47" s="11"/>
      <c r="Q47" s="11"/>
      <c r="R47" s="11"/>
      <c r="S47" s="11">
        <v>938000</v>
      </c>
      <c r="T47" s="11">
        <v>834000</v>
      </c>
      <c r="U47" s="11">
        <v>730000</v>
      </c>
      <c r="V47" s="11"/>
      <c r="W47" s="11"/>
      <c r="X47" s="11"/>
      <c r="Y47" s="11">
        <v>910000</v>
      </c>
      <c r="Z47" s="11">
        <v>809000</v>
      </c>
      <c r="AA47" s="11">
        <v>708000</v>
      </c>
      <c r="AB47" s="11">
        <v>0</v>
      </c>
      <c r="AC47" s="11">
        <v>0</v>
      </c>
      <c r="AD47" s="11">
        <v>0</v>
      </c>
      <c r="AE47" s="11">
        <v>955000</v>
      </c>
      <c r="AF47" s="11">
        <v>849000</v>
      </c>
      <c r="AG47" s="11">
        <v>743000</v>
      </c>
    </row>
    <row r="48" spans="1:33" x14ac:dyDescent="0.25">
      <c r="A48" s="9">
        <f t="shared" si="0"/>
        <v>45</v>
      </c>
      <c r="B48" s="10" t="s">
        <v>83</v>
      </c>
      <c r="C48" s="10" t="s">
        <v>85</v>
      </c>
      <c r="D48" s="11"/>
      <c r="E48" s="11"/>
      <c r="F48" s="11"/>
      <c r="G48" s="11">
        <v>931000</v>
      </c>
      <c r="H48" s="11">
        <v>807000</v>
      </c>
      <c r="I48" s="11">
        <v>724000</v>
      </c>
      <c r="J48" s="11"/>
      <c r="K48" s="11"/>
      <c r="L48" s="11"/>
      <c r="M48" s="11">
        <v>962000</v>
      </c>
      <c r="N48" s="11">
        <v>834000</v>
      </c>
      <c r="O48" s="11">
        <v>748000</v>
      </c>
      <c r="P48" s="11"/>
      <c r="Q48" s="11"/>
      <c r="R48" s="11"/>
      <c r="S48" s="11">
        <v>938000</v>
      </c>
      <c r="T48" s="11">
        <v>813000</v>
      </c>
      <c r="U48" s="11">
        <v>730000</v>
      </c>
      <c r="V48" s="11"/>
      <c r="W48" s="11"/>
      <c r="X48" s="11"/>
      <c r="Y48" s="11">
        <v>910000</v>
      </c>
      <c r="Z48" s="11">
        <v>788000</v>
      </c>
      <c r="AA48" s="11">
        <v>708000</v>
      </c>
      <c r="AB48" s="11">
        <v>0</v>
      </c>
      <c r="AC48" s="11">
        <v>0</v>
      </c>
      <c r="AD48" s="11">
        <v>0</v>
      </c>
      <c r="AE48" s="11">
        <v>955000</v>
      </c>
      <c r="AF48" s="11">
        <v>827000</v>
      </c>
      <c r="AG48" s="11">
        <v>743000</v>
      </c>
    </row>
    <row r="49" spans="1:33" x14ac:dyDescent="0.25">
      <c r="A49" s="9">
        <f t="shared" si="0"/>
        <v>46</v>
      </c>
      <c r="B49" s="10" t="s">
        <v>83</v>
      </c>
      <c r="C49" s="10" t="s">
        <v>86</v>
      </c>
      <c r="D49" s="11"/>
      <c r="E49" s="11"/>
      <c r="F49" s="11"/>
      <c r="G49" s="11">
        <v>858000</v>
      </c>
      <c r="H49" s="11">
        <v>807000</v>
      </c>
      <c r="I49" s="11">
        <v>745000</v>
      </c>
      <c r="J49" s="11"/>
      <c r="K49" s="11"/>
      <c r="L49" s="11"/>
      <c r="M49" s="11">
        <v>887000</v>
      </c>
      <c r="N49" s="11">
        <v>834000</v>
      </c>
      <c r="O49" s="11">
        <v>770000</v>
      </c>
      <c r="P49" s="11"/>
      <c r="Q49" s="11"/>
      <c r="R49" s="11"/>
      <c r="S49" s="11">
        <v>865000</v>
      </c>
      <c r="T49" s="11">
        <v>813000</v>
      </c>
      <c r="U49" s="11">
        <v>751000</v>
      </c>
      <c r="V49" s="11"/>
      <c r="W49" s="11"/>
      <c r="X49" s="11"/>
      <c r="Y49" s="11">
        <v>839000</v>
      </c>
      <c r="Z49" s="11">
        <v>788000</v>
      </c>
      <c r="AA49" s="11">
        <v>728000</v>
      </c>
      <c r="AB49" s="11">
        <v>0</v>
      </c>
      <c r="AC49" s="11">
        <v>0</v>
      </c>
      <c r="AD49" s="11">
        <v>0</v>
      </c>
      <c r="AE49" s="11">
        <v>881000</v>
      </c>
      <c r="AF49" s="11">
        <v>827000</v>
      </c>
      <c r="AG49" s="11">
        <v>764000</v>
      </c>
    </row>
    <row r="50" spans="1:33" x14ac:dyDescent="0.25">
      <c r="A50" s="9">
        <f t="shared" si="0"/>
        <v>47</v>
      </c>
      <c r="B50" s="10" t="s">
        <v>83</v>
      </c>
      <c r="C50" s="10" t="s">
        <v>87</v>
      </c>
      <c r="D50" s="11"/>
      <c r="E50" s="11"/>
      <c r="F50" s="11"/>
      <c r="G50" s="11">
        <v>858000</v>
      </c>
      <c r="H50" s="11">
        <v>807000</v>
      </c>
      <c r="I50" s="11">
        <v>745000</v>
      </c>
      <c r="J50" s="11"/>
      <c r="K50" s="11"/>
      <c r="L50" s="11"/>
      <c r="M50" s="11">
        <v>887000</v>
      </c>
      <c r="N50" s="11">
        <v>834000</v>
      </c>
      <c r="O50" s="11">
        <v>770000</v>
      </c>
      <c r="P50" s="11"/>
      <c r="Q50" s="11"/>
      <c r="R50" s="11"/>
      <c r="S50" s="11">
        <v>865000</v>
      </c>
      <c r="T50" s="11">
        <v>813000</v>
      </c>
      <c r="U50" s="11">
        <v>751000</v>
      </c>
      <c r="V50" s="11"/>
      <c r="W50" s="11"/>
      <c r="X50" s="11"/>
      <c r="Y50" s="11">
        <v>839000</v>
      </c>
      <c r="Z50" s="11">
        <v>788000</v>
      </c>
      <c r="AA50" s="11">
        <v>728000</v>
      </c>
      <c r="AB50" s="11">
        <v>0</v>
      </c>
      <c r="AC50" s="11">
        <v>0</v>
      </c>
      <c r="AD50" s="11">
        <v>0</v>
      </c>
      <c r="AE50" s="11">
        <v>881000</v>
      </c>
      <c r="AF50" s="11">
        <v>827000</v>
      </c>
      <c r="AG50" s="11">
        <v>764000</v>
      </c>
    </row>
    <row r="51" spans="1:33" x14ac:dyDescent="0.25">
      <c r="A51" s="9">
        <f t="shared" si="0"/>
        <v>48</v>
      </c>
      <c r="B51" s="10" t="s">
        <v>83</v>
      </c>
      <c r="C51" s="10" t="s">
        <v>88</v>
      </c>
      <c r="D51" s="11"/>
      <c r="E51" s="11"/>
      <c r="F51" s="11"/>
      <c r="G51" s="11">
        <v>879000</v>
      </c>
      <c r="H51" s="11">
        <v>796000</v>
      </c>
      <c r="I51" s="11">
        <v>724000</v>
      </c>
      <c r="J51" s="11"/>
      <c r="K51" s="11"/>
      <c r="L51" s="11"/>
      <c r="M51" s="11">
        <v>908000</v>
      </c>
      <c r="N51" s="11">
        <v>823000</v>
      </c>
      <c r="O51" s="11">
        <v>748000</v>
      </c>
      <c r="P51" s="11"/>
      <c r="Q51" s="11"/>
      <c r="R51" s="11"/>
      <c r="S51" s="11">
        <v>886000</v>
      </c>
      <c r="T51" s="11">
        <v>803000</v>
      </c>
      <c r="U51" s="11">
        <v>730000</v>
      </c>
      <c r="V51" s="11"/>
      <c r="W51" s="11"/>
      <c r="X51" s="11"/>
      <c r="Y51" s="11">
        <v>859000</v>
      </c>
      <c r="Z51" s="11">
        <v>779000</v>
      </c>
      <c r="AA51" s="11">
        <v>708000</v>
      </c>
      <c r="AB51" s="11">
        <v>0</v>
      </c>
      <c r="AC51" s="11">
        <v>0</v>
      </c>
      <c r="AD51" s="11">
        <v>0</v>
      </c>
      <c r="AE51" s="11">
        <v>902000</v>
      </c>
      <c r="AF51" s="11">
        <v>818000</v>
      </c>
      <c r="AG51" s="11">
        <v>743000</v>
      </c>
    </row>
    <row r="52" spans="1:33" x14ac:dyDescent="0.25">
      <c r="A52" s="9">
        <f t="shared" si="0"/>
        <v>49</v>
      </c>
      <c r="B52" s="10" t="s">
        <v>28</v>
      </c>
      <c r="C52" s="10"/>
      <c r="D52" s="11"/>
      <c r="E52" s="11"/>
      <c r="F52" s="11"/>
      <c r="G52" s="11">
        <v>393000</v>
      </c>
      <c r="H52" s="11">
        <v>372000</v>
      </c>
      <c r="I52" s="11">
        <v>300000</v>
      </c>
      <c r="J52" s="11"/>
      <c r="K52" s="11"/>
      <c r="L52" s="11"/>
      <c r="M52" s="11">
        <v>406000</v>
      </c>
      <c r="N52" s="11">
        <v>384000</v>
      </c>
      <c r="O52" s="11">
        <v>310000</v>
      </c>
      <c r="P52" s="11"/>
      <c r="Q52" s="11"/>
      <c r="R52" s="11"/>
      <c r="S52" s="11">
        <v>396000</v>
      </c>
      <c r="T52" s="11">
        <v>375000</v>
      </c>
      <c r="U52" s="11">
        <v>302000</v>
      </c>
      <c r="V52" s="11"/>
      <c r="W52" s="11"/>
      <c r="X52" s="11"/>
      <c r="Y52" s="11">
        <v>384000</v>
      </c>
      <c r="Z52" s="11">
        <v>364000</v>
      </c>
      <c r="AA52" s="11">
        <v>293000</v>
      </c>
      <c r="AB52" s="11">
        <v>0</v>
      </c>
      <c r="AC52" s="11">
        <v>0</v>
      </c>
      <c r="AD52" s="11">
        <v>0</v>
      </c>
      <c r="AE52" s="11">
        <v>403000</v>
      </c>
      <c r="AF52" s="11">
        <v>382000</v>
      </c>
      <c r="AG52" s="11">
        <v>308000</v>
      </c>
    </row>
    <row r="53" spans="1:33" x14ac:dyDescent="0.25">
      <c r="A53" s="9">
        <f t="shared" si="0"/>
        <v>50</v>
      </c>
      <c r="B53" s="10" t="s">
        <v>30</v>
      </c>
      <c r="C53" s="10"/>
      <c r="D53" s="11">
        <v>910000</v>
      </c>
      <c r="E53" s="11"/>
      <c r="F53" s="11"/>
      <c r="G53" s="11">
        <v>259000</v>
      </c>
      <c r="H53" s="11">
        <v>217000</v>
      </c>
      <c r="I53" s="11">
        <v>207000</v>
      </c>
      <c r="J53" s="11">
        <v>940000</v>
      </c>
      <c r="K53" s="11"/>
      <c r="L53" s="11"/>
      <c r="M53" s="11">
        <v>268000</v>
      </c>
      <c r="N53" s="11">
        <v>224000</v>
      </c>
      <c r="O53" s="11">
        <v>214000</v>
      </c>
      <c r="P53" s="11">
        <v>917000</v>
      </c>
      <c r="Q53" s="11"/>
      <c r="R53" s="11"/>
      <c r="S53" s="11">
        <v>261000</v>
      </c>
      <c r="T53" s="11">
        <v>218000</v>
      </c>
      <c r="U53" s="11">
        <v>209000</v>
      </c>
      <c r="V53" s="11">
        <v>889000</v>
      </c>
      <c r="W53" s="11"/>
      <c r="X53" s="11"/>
      <c r="Y53" s="11">
        <v>253000</v>
      </c>
      <c r="Z53" s="11">
        <v>211000</v>
      </c>
      <c r="AA53" s="11">
        <v>203000</v>
      </c>
      <c r="AB53" s="11">
        <v>933000</v>
      </c>
      <c r="AC53" s="11">
        <v>0</v>
      </c>
      <c r="AD53" s="11">
        <v>0</v>
      </c>
      <c r="AE53" s="11">
        <v>266000</v>
      </c>
      <c r="AF53" s="11">
        <v>222000</v>
      </c>
      <c r="AG53" s="11">
        <v>213000</v>
      </c>
    </row>
    <row r="54" spans="1:33" x14ac:dyDescent="0.25">
      <c r="A54" s="9">
        <f t="shared" si="0"/>
        <v>51</v>
      </c>
      <c r="B54" s="10" t="s">
        <v>30</v>
      </c>
      <c r="C54" s="10" t="s">
        <v>89</v>
      </c>
      <c r="D54" s="11">
        <v>1138000</v>
      </c>
      <c r="E54" s="11"/>
      <c r="F54" s="11"/>
      <c r="G54" s="11">
        <v>341000</v>
      </c>
      <c r="H54" s="11">
        <v>279000</v>
      </c>
      <c r="I54" s="11">
        <v>279000</v>
      </c>
      <c r="J54" s="11">
        <v>1176000</v>
      </c>
      <c r="K54" s="11"/>
      <c r="L54" s="11"/>
      <c r="M54" s="11">
        <v>352000</v>
      </c>
      <c r="N54" s="11">
        <v>288000</v>
      </c>
      <c r="O54" s="11">
        <v>288000</v>
      </c>
      <c r="P54" s="11">
        <v>1147000</v>
      </c>
      <c r="Q54" s="11"/>
      <c r="R54" s="11"/>
      <c r="S54" s="11">
        <v>343000</v>
      </c>
      <c r="T54" s="11">
        <v>281000</v>
      </c>
      <c r="U54" s="11">
        <v>281000</v>
      </c>
      <c r="V54" s="11">
        <v>1112000</v>
      </c>
      <c r="W54" s="11"/>
      <c r="X54" s="11"/>
      <c r="Y54" s="11">
        <v>333000</v>
      </c>
      <c r="Z54" s="11">
        <v>273000</v>
      </c>
      <c r="AA54" s="11">
        <v>273000</v>
      </c>
      <c r="AB54" s="11">
        <v>1167000</v>
      </c>
      <c r="AC54" s="11">
        <v>0</v>
      </c>
      <c r="AD54" s="11">
        <v>0</v>
      </c>
      <c r="AE54" s="11">
        <v>350000</v>
      </c>
      <c r="AF54" s="11">
        <v>287000</v>
      </c>
      <c r="AG54" s="11">
        <v>287000</v>
      </c>
    </row>
    <row r="55" spans="1:33" x14ac:dyDescent="0.25">
      <c r="A55" s="9">
        <f t="shared" si="0"/>
        <v>52</v>
      </c>
      <c r="B55" s="10" t="s">
        <v>30</v>
      </c>
      <c r="C55" s="10" t="s">
        <v>90</v>
      </c>
      <c r="D55" s="11">
        <v>672000</v>
      </c>
      <c r="E55" s="11"/>
      <c r="F55" s="11">
        <v>103000</v>
      </c>
      <c r="G55" s="11">
        <v>103000</v>
      </c>
      <c r="H55" s="11">
        <v>103000</v>
      </c>
      <c r="I55" s="11">
        <v>93000</v>
      </c>
      <c r="J55" s="11">
        <v>695000</v>
      </c>
      <c r="K55" s="11"/>
      <c r="L55" s="11">
        <v>106000</v>
      </c>
      <c r="M55" s="11">
        <v>106000</v>
      </c>
      <c r="N55" s="11">
        <v>106000</v>
      </c>
      <c r="O55" s="11">
        <v>96000</v>
      </c>
      <c r="P55" s="11">
        <v>678000</v>
      </c>
      <c r="Q55" s="11"/>
      <c r="R55" s="11">
        <v>103000</v>
      </c>
      <c r="S55" s="11">
        <v>103000</v>
      </c>
      <c r="T55" s="11">
        <v>103000</v>
      </c>
      <c r="U55" s="11">
        <v>94000</v>
      </c>
      <c r="V55" s="11">
        <v>658000</v>
      </c>
      <c r="W55" s="11"/>
      <c r="X55" s="11">
        <v>100000</v>
      </c>
      <c r="Y55" s="11">
        <v>100000</v>
      </c>
      <c r="Z55" s="11">
        <v>100000</v>
      </c>
      <c r="AA55" s="11">
        <v>91000</v>
      </c>
      <c r="AB55" s="11">
        <v>691000</v>
      </c>
      <c r="AC55" s="11">
        <v>0</v>
      </c>
      <c r="AD55" s="11">
        <v>105000</v>
      </c>
      <c r="AE55" s="11">
        <v>105000</v>
      </c>
      <c r="AF55" s="11">
        <v>105000</v>
      </c>
      <c r="AG55" s="11">
        <v>96000</v>
      </c>
    </row>
    <row r="56" spans="1:33" x14ac:dyDescent="0.25">
      <c r="A56" s="9">
        <f t="shared" si="0"/>
        <v>53</v>
      </c>
      <c r="B56" s="10" t="s">
        <v>16</v>
      </c>
      <c r="C56" s="10"/>
      <c r="D56" s="11"/>
      <c r="E56" s="11"/>
      <c r="F56" s="11"/>
      <c r="G56" s="11">
        <v>1396000</v>
      </c>
      <c r="H56" s="11">
        <v>1293000</v>
      </c>
      <c r="I56" s="11">
        <v>1189000</v>
      </c>
      <c r="J56" s="11"/>
      <c r="K56" s="11"/>
      <c r="L56" s="11"/>
      <c r="M56" s="11">
        <v>1443000</v>
      </c>
      <c r="N56" s="11">
        <v>1336000</v>
      </c>
      <c r="O56" s="11">
        <v>1229000</v>
      </c>
      <c r="P56" s="11"/>
      <c r="Q56" s="11"/>
      <c r="R56" s="11"/>
      <c r="S56" s="11">
        <v>1408000</v>
      </c>
      <c r="T56" s="11">
        <v>1303000</v>
      </c>
      <c r="U56" s="11">
        <v>1199000</v>
      </c>
      <c r="V56" s="11"/>
      <c r="W56" s="11"/>
      <c r="X56" s="11"/>
      <c r="Y56" s="11">
        <v>1365000</v>
      </c>
      <c r="Z56" s="11">
        <v>1264000</v>
      </c>
      <c r="AA56" s="11">
        <v>1163000</v>
      </c>
      <c r="AB56" s="11">
        <v>0</v>
      </c>
      <c r="AC56" s="11">
        <v>0</v>
      </c>
      <c r="AD56" s="11">
        <v>0</v>
      </c>
      <c r="AE56" s="11">
        <v>1433000</v>
      </c>
      <c r="AF56" s="11">
        <v>1327000</v>
      </c>
      <c r="AG56" s="11">
        <v>1221000</v>
      </c>
    </row>
    <row r="57" spans="1:33" x14ac:dyDescent="0.25">
      <c r="A57" s="9">
        <f t="shared" si="0"/>
        <v>54</v>
      </c>
      <c r="B57" s="10" t="s">
        <v>33</v>
      </c>
      <c r="C57" s="10"/>
      <c r="D57" s="11"/>
      <c r="E57" s="11"/>
      <c r="F57" s="11"/>
      <c r="G57" s="11">
        <v>672000</v>
      </c>
      <c r="H57" s="11">
        <v>641000</v>
      </c>
      <c r="I57" s="11">
        <v>631000</v>
      </c>
      <c r="J57" s="11"/>
      <c r="K57" s="11"/>
      <c r="L57" s="11"/>
      <c r="M57" s="11">
        <v>695000</v>
      </c>
      <c r="N57" s="11">
        <v>662000</v>
      </c>
      <c r="O57" s="11">
        <v>652000</v>
      </c>
      <c r="P57" s="11"/>
      <c r="Q57" s="11"/>
      <c r="R57" s="11"/>
      <c r="S57" s="11">
        <v>678000</v>
      </c>
      <c r="T57" s="11">
        <v>646000</v>
      </c>
      <c r="U57" s="11">
        <v>636000</v>
      </c>
      <c r="V57" s="11"/>
      <c r="W57" s="11"/>
      <c r="X57" s="11"/>
      <c r="Y57" s="11">
        <v>658000</v>
      </c>
      <c r="Z57" s="11">
        <v>626000</v>
      </c>
      <c r="AA57" s="11">
        <v>617000</v>
      </c>
      <c r="AB57" s="11">
        <v>0</v>
      </c>
      <c r="AC57" s="11">
        <v>0</v>
      </c>
      <c r="AD57" s="11">
        <v>0</v>
      </c>
      <c r="AE57" s="11">
        <v>691000</v>
      </c>
      <c r="AF57" s="11">
        <v>657000</v>
      </c>
      <c r="AG57" s="11">
        <v>648000</v>
      </c>
    </row>
    <row r="58" spans="1:33" x14ac:dyDescent="0.25">
      <c r="A58" s="9">
        <f t="shared" si="0"/>
        <v>55</v>
      </c>
      <c r="B58" s="10" t="s">
        <v>33</v>
      </c>
      <c r="C58" s="10" t="s">
        <v>91</v>
      </c>
      <c r="D58" s="11"/>
      <c r="E58" s="11"/>
      <c r="F58" s="11"/>
      <c r="G58" s="11">
        <v>631000</v>
      </c>
      <c r="H58" s="11">
        <v>600000</v>
      </c>
      <c r="I58" s="11">
        <v>590000</v>
      </c>
      <c r="J58" s="11"/>
      <c r="K58" s="11"/>
      <c r="L58" s="11"/>
      <c r="M58" s="11">
        <v>652000</v>
      </c>
      <c r="N58" s="11">
        <v>620000</v>
      </c>
      <c r="O58" s="11">
        <v>610000</v>
      </c>
      <c r="P58" s="11"/>
      <c r="Q58" s="11"/>
      <c r="R58" s="11"/>
      <c r="S58" s="11">
        <v>636000</v>
      </c>
      <c r="T58" s="11">
        <v>605000</v>
      </c>
      <c r="U58" s="11">
        <v>595000</v>
      </c>
      <c r="V58" s="11"/>
      <c r="W58" s="11"/>
      <c r="X58" s="11"/>
      <c r="Y58" s="11">
        <v>617000</v>
      </c>
      <c r="Z58" s="11">
        <v>587000</v>
      </c>
      <c r="AA58" s="11">
        <v>577000</v>
      </c>
      <c r="AB58" s="11">
        <v>0</v>
      </c>
      <c r="AC58" s="11">
        <v>0</v>
      </c>
      <c r="AD58" s="11">
        <v>0</v>
      </c>
      <c r="AE58" s="11">
        <v>648000</v>
      </c>
      <c r="AF58" s="11">
        <v>616000</v>
      </c>
      <c r="AG58" s="11">
        <v>606000</v>
      </c>
    </row>
    <row r="59" spans="1:33" x14ac:dyDescent="0.25">
      <c r="A59" s="9">
        <f t="shared" si="0"/>
        <v>56</v>
      </c>
      <c r="B59" s="10" t="s">
        <v>23</v>
      </c>
      <c r="C59" s="10"/>
      <c r="D59" s="11"/>
      <c r="E59" s="11"/>
      <c r="F59" s="11"/>
      <c r="G59" s="11">
        <v>496000</v>
      </c>
      <c r="H59" s="11">
        <v>403000</v>
      </c>
      <c r="I59" s="11">
        <v>362000</v>
      </c>
      <c r="J59" s="11"/>
      <c r="K59" s="11"/>
      <c r="L59" s="11"/>
      <c r="M59" s="11">
        <v>513000</v>
      </c>
      <c r="N59" s="11">
        <v>417000</v>
      </c>
      <c r="O59" s="11">
        <v>374000</v>
      </c>
      <c r="P59" s="11"/>
      <c r="Q59" s="11"/>
      <c r="R59" s="11"/>
      <c r="S59" s="11">
        <v>500000</v>
      </c>
      <c r="T59" s="11">
        <v>407000</v>
      </c>
      <c r="U59" s="11">
        <v>365000</v>
      </c>
      <c r="V59" s="11"/>
      <c r="W59" s="11"/>
      <c r="X59" s="11"/>
      <c r="Y59" s="11">
        <v>485000</v>
      </c>
      <c r="Z59" s="11">
        <v>395000</v>
      </c>
      <c r="AA59" s="11">
        <v>354000</v>
      </c>
      <c r="AB59" s="11">
        <v>0</v>
      </c>
      <c r="AC59" s="11">
        <v>0</v>
      </c>
      <c r="AD59" s="11">
        <v>0</v>
      </c>
      <c r="AE59" s="11">
        <v>509000</v>
      </c>
      <c r="AF59" s="11">
        <v>415000</v>
      </c>
      <c r="AG59" s="11">
        <v>372000</v>
      </c>
    </row>
    <row r="60" spans="1:33" x14ac:dyDescent="0.25">
      <c r="A60" s="9">
        <f t="shared" si="0"/>
        <v>57</v>
      </c>
      <c r="B60" s="10" t="s">
        <v>23</v>
      </c>
      <c r="C60" s="10" t="s">
        <v>92</v>
      </c>
      <c r="D60" s="11"/>
      <c r="E60" s="11"/>
      <c r="F60" s="11"/>
      <c r="G60" s="11">
        <v>538000</v>
      </c>
      <c r="H60" s="11">
        <v>486000</v>
      </c>
      <c r="I60" s="11">
        <v>455000</v>
      </c>
      <c r="J60" s="11"/>
      <c r="K60" s="11"/>
      <c r="L60" s="11"/>
      <c r="M60" s="11">
        <v>556000</v>
      </c>
      <c r="N60" s="11">
        <v>502000</v>
      </c>
      <c r="O60" s="11">
        <v>470000</v>
      </c>
      <c r="P60" s="11"/>
      <c r="Q60" s="11"/>
      <c r="R60" s="11"/>
      <c r="S60" s="11">
        <v>542000</v>
      </c>
      <c r="T60" s="11">
        <v>490000</v>
      </c>
      <c r="U60" s="11">
        <v>458000</v>
      </c>
      <c r="V60" s="11"/>
      <c r="W60" s="11"/>
      <c r="X60" s="11"/>
      <c r="Y60" s="11">
        <v>526000</v>
      </c>
      <c r="Z60" s="11">
        <v>475000</v>
      </c>
      <c r="AA60" s="11">
        <v>444000</v>
      </c>
      <c r="AB60" s="11">
        <v>0</v>
      </c>
      <c r="AC60" s="11">
        <v>0</v>
      </c>
      <c r="AD60" s="11">
        <v>0</v>
      </c>
      <c r="AE60" s="11">
        <v>552000</v>
      </c>
      <c r="AF60" s="11">
        <v>499000</v>
      </c>
      <c r="AG60" s="11">
        <v>466000</v>
      </c>
    </row>
    <row r="61" spans="1:33" x14ac:dyDescent="0.25">
      <c r="A61" s="9">
        <f t="shared" si="0"/>
        <v>58</v>
      </c>
      <c r="B61" s="10" t="s">
        <v>23</v>
      </c>
      <c r="C61" s="10" t="s">
        <v>93</v>
      </c>
      <c r="D61" s="11"/>
      <c r="E61" s="11"/>
      <c r="F61" s="11"/>
      <c r="G61" s="11">
        <v>1189000</v>
      </c>
      <c r="H61" s="11">
        <v>1138000</v>
      </c>
      <c r="I61" s="11">
        <v>1034000</v>
      </c>
      <c r="J61" s="11"/>
      <c r="K61" s="11"/>
      <c r="L61" s="11"/>
      <c r="M61" s="11">
        <v>1229000</v>
      </c>
      <c r="N61" s="11">
        <v>1176000</v>
      </c>
      <c r="O61" s="11">
        <v>1069000</v>
      </c>
      <c r="P61" s="11"/>
      <c r="Q61" s="11"/>
      <c r="R61" s="11"/>
      <c r="S61" s="11">
        <v>1199000</v>
      </c>
      <c r="T61" s="11">
        <v>1147000</v>
      </c>
      <c r="U61" s="11">
        <v>1043000</v>
      </c>
      <c r="V61" s="11"/>
      <c r="W61" s="11"/>
      <c r="X61" s="11"/>
      <c r="Y61" s="11">
        <v>1163000</v>
      </c>
      <c r="Z61" s="11">
        <v>1112000</v>
      </c>
      <c r="AA61" s="11">
        <v>1012000</v>
      </c>
      <c r="AB61" s="11">
        <v>0</v>
      </c>
      <c r="AC61" s="11">
        <v>0</v>
      </c>
      <c r="AD61" s="11">
        <v>0</v>
      </c>
      <c r="AE61" s="11">
        <v>1221000</v>
      </c>
      <c r="AF61" s="11">
        <v>1167000</v>
      </c>
      <c r="AG61" s="11">
        <v>1062000</v>
      </c>
    </row>
    <row r="62" spans="1:33" x14ac:dyDescent="0.25">
      <c r="A62" s="9">
        <f t="shared" si="0"/>
        <v>59</v>
      </c>
      <c r="B62" s="10" t="s">
        <v>11</v>
      </c>
      <c r="C62" s="10"/>
      <c r="D62" s="11"/>
      <c r="E62" s="11"/>
      <c r="F62" s="11"/>
      <c r="G62" s="11">
        <v>931000</v>
      </c>
      <c r="H62" s="11">
        <v>889000</v>
      </c>
      <c r="I62" s="11">
        <v>827000</v>
      </c>
      <c r="J62" s="11"/>
      <c r="K62" s="11"/>
      <c r="L62" s="11"/>
      <c r="M62" s="11">
        <v>962000</v>
      </c>
      <c r="N62" s="11">
        <v>919000</v>
      </c>
      <c r="O62" s="11">
        <v>855000</v>
      </c>
      <c r="P62" s="11"/>
      <c r="Q62" s="11"/>
      <c r="R62" s="11"/>
      <c r="S62" s="11">
        <v>938000</v>
      </c>
      <c r="T62" s="11">
        <v>896000</v>
      </c>
      <c r="U62" s="11">
        <v>834000</v>
      </c>
      <c r="V62" s="11"/>
      <c r="W62" s="11"/>
      <c r="X62" s="11"/>
      <c r="Y62" s="11">
        <v>910000</v>
      </c>
      <c r="Z62" s="11">
        <v>869000</v>
      </c>
      <c r="AA62" s="11">
        <v>809000</v>
      </c>
      <c r="AB62" s="11">
        <v>0</v>
      </c>
      <c r="AC62" s="11">
        <v>0</v>
      </c>
      <c r="AD62" s="11">
        <v>0</v>
      </c>
      <c r="AE62" s="11">
        <v>955000</v>
      </c>
      <c r="AF62" s="11">
        <v>912000</v>
      </c>
      <c r="AG62" s="11">
        <v>849000</v>
      </c>
    </row>
    <row r="63" spans="1:33" x14ac:dyDescent="0.25">
      <c r="A63" s="9">
        <f t="shared" si="0"/>
        <v>60</v>
      </c>
      <c r="B63" s="10" t="s">
        <v>94</v>
      </c>
      <c r="C63" s="10" t="s">
        <v>95</v>
      </c>
      <c r="D63" s="11"/>
      <c r="E63" s="11"/>
      <c r="F63" s="11"/>
      <c r="G63" s="11">
        <v>465000</v>
      </c>
      <c r="H63" s="11">
        <v>393000</v>
      </c>
      <c r="I63" s="11">
        <v>331000</v>
      </c>
      <c r="J63" s="11"/>
      <c r="K63" s="11"/>
      <c r="L63" s="11"/>
      <c r="M63" s="11">
        <v>481000</v>
      </c>
      <c r="N63" s="11">
        <v>406000</v>
      </c>
      <c r="O63" s="11">
        <v>342000</v>
      </c>
      <c r="P63" s="11"/>
      <c r="Q63" s="11"/>
      <c r="R63" s="11"/>
      <c r="S63" s="11">
        <v>469000</v>
      </c>
      <c r="T63" s="11">
        <v>396000</v>
      </c>
      <c r="U63" s="11">
        <v>334000</v>
      </c>
      <c r="V63" s="11"/>
      <c r="W63" s="11"/>
      <c r="X63" s="11"/>
      <c r="Y63" s="11">
        <v>455000</v>
      </c>
      <c r="Z63" s="11">
        <v>384000</v>
      </c>
      <c r="AA63" s="11">
        <v>324000</v>
      </c>
      <c r="AB63" s="11">
        <v>0</v>
      </c>
      <c r="AC63" s="11">
        <v>0</v>
      </c>
      <c r="AD63" s="11">
        <v>0</v>
      </c>
      <c r="AE63" s="11">
        <v>478000</v>
      </c>
      <c r="AF63" s="11">
        <v>403000</v>
      </c>
      <c r="AG63" s="11">
        <v>340000</v>
      </c>
    </row>
    <row r="64" spans="1:33" x14ac:dyDescent="0.25">
      <c r="A64" s="9">
        <f t="shared" si="0"/>
        <v>61</v>
      </c>
      <c r="B64" s="10" t="s">
        <v>94</v>
      </c>
      <c r="C64" s="10" t="s">
        <v>96</v>
      </c>
      <c r="D64" s="11"/>
      <c r="E64" s="11"/>
      <c r="F64" s="11"/>
      <c r="G64" s="11">
        <v>548000</v>
      </c>
      <c r="H64" s="11">
        <v>517000</v>
      </c>
      <c r="I64" s="11">
        <v>414000</v>
      </c>
      <c r="J64" s="11"/>
      <c r="K64" s="11"/>
      <c r="L64" s="11"/>
      <c r="M64" s="11">
        <v>566000</v>
      </c>
      <c r="N64" s="11">
        <v>534000</v>
      </c>
      <c r="O64" s="11">
        <v>428000</v>
      </c>
      <c r="P64" s="11"/>
      <c r="Q64" s="11"/>
      <c r="R64" s="11"/>
      <c r="S64" s="11">
        <v>552000</v>
      </c>
      <c r="T64" s="11">
        <v>521000</v>
      </c>
      <c r="U64" s="11">
        <v>417000</v>
      </c>
      <c r="V64" s="11"/>
      <c r="W64" s="11"/>
      <c r="X64" s="11"/>
      <c r="Y64" s="11">
        <v>535000</v>
      </c>
      <c r="Z64" s="11">
        <v>505000</v>
      </c>
      <c r="AA64" s="11">
        <v>404000</v>
      </c>
      <c r="AB64" s="11">
        <v>0</v>
      </c>
      <c r="AC64" s="11">
        <v>0</v>
      </c>
      <c r="AD64" s="11">
        <v>0</v>
      </c>
      <c r="AE64" s="11">
        <v>562000</v>
      </c>
      <c r="AF64" s="11">
        <v>530000</v>
      </c>
      <c r="AG64" s="11">
        <v>424000</v>
      </c>
    </row>
    <row r="65" spans="1:33" x14ac:dyDescent="0.25">
      <c r="A65" s="9">
        <f t="shared" si="0"/>
        <v>62</v>
      </c>
      <c r="B65" s="10" t="s">
        <v>94</v>
      </c>
      <c r="C65" s="10" t="s">
        <v>97</v>
      </c>
      <c r="D65" s="11"/>
      <c r="E65" s="11"/>
      <c r="F65" s="11"/>
      <c r="G65" s="11">
        <v>507000</v>
      </c>
      <c r="H65" s="11">
        <v>434000</v>
      </c>
      <c r="I65" s="11">
        <v>383000</v>
      </c>
      <c r="J65" s="11"/>
      <c r="K65" s="11"/>
      <c r="L65" s="11"/>
      <c r="M65" s="11">
        <v>524000</v>
      </c>
      <c r="N65" s="11">
        <v>449000</v>
      </c>
      <c r="O65" s="11">
        <v>396000</v>
      </c>
      <c r="P65" s="11"/>
      <c r="Q65" s="11"/>
      <c r="R65" s="11"/>
      <c r="S65" s="11">
        <v>511000</v>
      </c>
      <c r="T65" s="11">
        <v>438000</v>
      </c>
      <c r="U65" s="11">
        <v>386000</v>
      </c>
      <c r="V65" s="11"/>
      <c r="W65" s="11"/>
      <c r="X65" s="11"/>
      <c r="Y65" s="11">
        <v>496000</v>
      </c>
      <c r="Z65" s="11">
        <v>425000</v>
      </c>
      <c r="AA65" s="11">
        <v>374000</v>
      </c>
      <c r="AB65" s="11">
        <v>0</v>
      </c>
      <c r="AC65" s="11">
        <v>0</v>
      </c>
      <c r="AD65" s="11">
        <v>0</v>
      </c>
      <c r="AE65" s="11">
        <v>521000</v>
      </c>
      <c r="AF65" s="11">
        <v>446000</v>
      </c>
      <c r="AG65" s="11">
        <v>393000</v>
      </c>
    </row>
    <row r="66" spans="1:33" x14ac:dyDescent="0.25">
      <c r="A66" s="9">
        <f t="shared" si="0"/>
        <v>63</v>
      </c>
      <c r="B66" s="10" t="s">
        <v>8</v>
      </c>
      <c r="C66" s="10"/>
      <c r="D66" s="11">
        <v>1138000</v>
      </c>
      <c r="E66" s="11"/>
      <c r="F66" s="11"/>
      <c r="G66" s="11">
        <v>269000</v>
      </c>
      <c r="H66" s="11">
        <v>269000</v>
      </c>
      <c r="I66" s="11">
        <v>228000</v>
      </c>
      <c r="J66" s="11">
        <v>1176000</v>
      </c>
      <c r="K66" s="11"/>
      <c r="L66" s="11"/>
      <c r="M66" s="11">
        <v>278000</v>
      </c>
      <c r="N66" s="11">
        <v>278000</v>
      </c>
      <c r="O66" s="11">
        <v>236000</v>
      </c>
      <c r="P66" s="11">
        <v>1147000</v>
      </c>
      <c r="Q66" s="11"/>
      <c r="R66" s="11"/>
      <c r="S66" s="11">
        <v>271000</v>
      </c>
      <c r="T66" s="11">
        <v>271000</v>
      </c>
      <c r="U66" s="11">
        <v>230000</v>
      </c>
      <c r="V66" s="11">
        <v>1112000</v>
      </c>
      <c r="W66" s="11"/>
      <c r="X66" s="11"/>
      <c r="Y66" s="11">
        <v>263000</v>
      </c>
      <c r="Z66" s="11">
        <v>263000</v>
      </c>
      <c r="AA66" s="11">
        <v>223000</v>
      </c>
      <c r="AB66" s="11">
        <v>1167000</v>
      </c>
      <c r="AC66" s="11">
        <v>0</v>
      </c>
      <c r="AD66" s="11">
        <v>0</v>
      </c>
      <c r="AE66" s="11">
        <v>276000</v>
      </c>
      <c r="AF66" s="11">
        <v>276000</v>
      </c>
      <c r="AG66" s="11">
        <v>234000</v>
      </c>
    </row>
    <row r="67" spans="1:33" x14ac:dyDescent="0.25">
      <c r="A67" s="9">
        <f t="shared" si="0"/>
        <v>64</v>
      </c>
      <c r="B67" s="10" t="s">
        <v>8</v>
      </c>
      <c r="C67" s="10" t="s">
        <v>98</v>
      </c>
      <c r="D67" s="11">
        <v>672000</v>
      </c>
      <c r="E67" s="11"/>
      <c r="F67" s="11"/>
      <c r="G67" s="11">
        <v>134000</v>
      </c>
      <c r="H67" s="11">
        <v>134000</v>
      </c>
      <c r="I67" s="11">
        <v>124000</v>
      </c>
      <c r="J67" s="11">
        <v>695000</v>
      </c>
      <c r="K67" s="11"/>
      <c r="L67" s="11"/>
      <c r="M67" s="11">
        <v>138000</v>
      </c>
      <c r="N67" s="11">
        <v>138000</v>
      </c>
      <c r="O67" s="11">
        <v>128000</v>
      </c>
      <c r="P67" s="11">
        <v>678000</v>
      </c>
      <c r="Q67" s="11"/>
      <c r="R67" s="11"/>
      <c r="S67" s="11">
        <v>135000</v>
      </c>
      <c r="T67" s="11">
        <v>135000</v>
      </c>
      <c r="U67" s="11">
        <v>125000</v>
      </c>
      <c r="V67" s="11">
        <v>658000</v>
      </c>
      <c r="W67" s="11"/>
      <c r="X67" s="11"/>
      <c r="Y67" s="11">
        <v>131000</v>
      </c>
      <c r="Z67" s="11">
        <v>131000</v>
      </c>
      <c r="AA67" s="11">
        <v>121000</v>
      </c>
      <c r="AB67" s="11">
        <v>691000</v>
      </c>
      <c r="AC67" s="11">
        <v>0</v>
      </c>
      <c r="AD67" s="11">
        <v>0</v>
      </c>
      <c r="AE67" s="11">
        <v>138000</v>
      </c>
      <c r="AF67" s="11">
        <v>138000</v>
      </c>
      <c r="AG67" s="11">
        <v>127000</v>
      </c>
    </row>
    <row r="68" spans="1:33" x14ac:dyDescent="0.25">
      <c r="A68" s="9">
        <f t="shared" si="0"/>
        <v>65</v>
      </c>
      <c r="B68" s="22" t="s">
        <v>8</v>
      </c>
      <c r="C68" s="22" t="s">
        <v>99</v>
      </c>
      <c r="D68" s="23"/>
      <c r="E68" s="23"/>
      <c r="F68" s="23"/>
      <c r="G68" s="23">
        <v>362000</v>
      </c>
      <c r="H68" s="23">
        <v>290000</v>
      </c>
      <c r="I68" s="23">
        <v>238000</v>
      </c>
      <c r="J68" s="23"/>
      <c r="K68" s="23"/>
      <c r="L68" s="23"/>
      <c r="M68" s="23">
        <v>374000</v>
      </c>
      <c r="N68" s="23">
        <v>300000</v>
      </c>
      <c r="O68" s="23">
        <v>246000</v>
      </c>
      <c r="P68" s="23"/>
      <c r="Q68" s="23"/>
      <c r="R68" s="23"/>
      <c r="S68" s="23">
        <v>365000</v>
      </c>
      <c r="T68" s="23">
        <v>293000</v>
      </c>
      <c r="U68" s="23">
        <v>240000</v>
      </c>
      <c r="V68" s="23"/>
      <c r="W68" s="23"/>
      <c r="X68" s="23"/>
      <c r="Y68" s="23">
        <v>354000</v>
      </c>
      <c r="Z68" s="23">
        <v>284000</v>
      </c>
      <c r="AA68" s="23">
        <v>233000</v>
      </c>
      <c r="AB68" s="23">
        <v>0</v>
      </c>
      <c r="AC68" s="23">
        <v>0</v>
      </c>
      <c r="AD68" s="23">
        <v>0</v>
      </c>
      <c r="AE68" s="23">
        <v>372000</v>
      </c>
      <c r="AF68" s="23">
        <v>298000</v>
      </c>
      <c r="AG68" s="23">
        <v>245000</v>
      </c>
    </row>
    <row r="69" spans="1:33" x14ac:dyDescent="0.25">
      <c r="A69" s="9">
        <f t="shared" ref="A69:A81" si="1">A68+1</f>
        <v>66</v>
      </c>
      <c r="B69" s="22" t="s">
        <v>12</v>
      </c>
      <c r="C69" s="22"/>
      <c r="D69" s="23"/>
      <c r="E69" s="23"/>
      <c r="F69" s="23"/>
      <c r="G69" s="23">
        <v>672000</v>
      </c>
      <c r="H69" s="23">
        <v>538000</v>
      </c>
      <c r="I69" s="23">
        <v>465000</v>
      </c>
      <c r="J69" s="23"/>
      <c r="K69" s="23"/>
      <c r="L69" s="23"/>
      <c r="M69" s="23">
        <v>695000</v>
      </c>
      <c r="N69" s="23">
        <v>556000</v>
      </c>
      <c r="O69" s="23">
        <v>481000</v>
      </c>
      <c r="P69" s="23"/>
      <c r="Q69" s="23"/>
      <c r="R69" s="23"/>
      <c r="S69" s="23">
        <v>678000</v>
      </c>
      <c r="T69" s="23">
        <v>542000</v>
      </c>
      <c r="U69" s="23">
        <v>469000</v>
      </c>
      <c r="V69" s="23"/>
      <c r="W69" s="23"/>
      <c r="X69" s="23"/>
      <c r="Y69" s="23">
        <v>658000</v>
      </c>
      <c r="Z69" s="23">
        <v>526000</v>
      </c>
      <c r="AA69" s="23">
        <v>455000</v>
      </c>
      <c r="AB69" s="23">
        <v>0</v>
      </c>
      <c r="AC69" s="23">
        <v>0</v>
      </c>
      <c r="AD69" s="23">
        <v>0</v>
      </c>
      <c r="AE69" s="23">
        <v>691000</v>
      </c>
      <c r="AF69" s="23">
        <v>552000</v>
      </c>
      <c r="AG69" s="23">
        <v>478000</v>
      </c>
    </row>
    <row r="70" spans="1:33" x14ac:dyDescent="0.25">
      <c r="A70" s="9">
        <f t="shared" si="1"/>
        <v>67</v>
      </c>
      <c r="B70" s="22" t="s">
        <v>34</v>
      </c>
      <c r="C70" s="22"/>
      <c r="D70" s="23"/>
      <c r="E70" s="23"/>
      <c r="F70" s="23"/>
      <c r="G70" s="23">
        <v>827000</v>
      </c>
      <c r="H70" s="23">
        <v>817000</v>
      </c>
      <c r="I70" s="23">
        <v>745000</v>
      </c>
      <c r="J70" s="23"/>
      <c r="K70" s="23"/>
      <c r="L70" s="23"/>
      <c r="M70" s="23">
        <v>855000</v>
      </c>
      <c r="N70" s="23">
        <v>844000</v>
      </c>
      <c r="O70" s="23">
        <v>770000</v>
      </c>
      <c r="P70" s="23"/>
      <c r="Q70" s="23"/>
      <c r="R70" s="23"/>
      <c r="S70" s="23">
        <v>834000</v>
      </c>
      <c r="T70" s="23">
        <v>823000</v>
      </c>
      <c r="U70" s="23">
        <v>751000</v>
      </c>
      <c r="V70" s="23"/>
      <c r="W70" s="23"/>
      <c r="X70" s="23"/>
      <c r="Y70" s="23">
        <v>809000</v>
      </c>
      <c r="Z70" s="23">
        <v>798000</v>
      </c>
      <c r="AA70" s="23">
        <v>728000</v>
      </c>
      <c r="AB70" s="23">
        <v>0</v>
      </c>
      <c r="AC70" s="23">
        <v>0</v>
      </c>
      <c r="AD70" s="23">
        <v>0</v>
      </c>
      <c r="AE70" s="23">
        <v>849000</v>
      </c>
      <c r="AF70" s="23">
        <v>838000</v>
      </c>
      <c r="AG70" s="23">
        <v>764000</v>
      </c>
    </row>
    <row r="71" spans="1:33" x14ac:dyDescent="0.25">
      <c r="A71" s="9">
        <f t="shared" si="1"/>
        <v>68</v>
      </c>
      <c r="B71" s="22" t="s">
        <v>14</v>
      </c>
      <c r="C71" s="22"/>
      <c r="D71" s="23"/>
      <c r="E71" s="23"/>
      <c r="F71" s="23"/>
      <c r="G71" s="23">
        <v>1241000</v>
      </c>
      <c r="H71" s="23">
        <v>1189000</v>
      </c>
      <c r="I71" s="23">
        <v>1138000</v>
      </c>
      <c r="J71" s="23"/>
      <c r="K71" s="23"/>
      <c r="L71" s="23"/>
      <c r="M71" s="23">
        <v>1283000</v>
      </c>
      <c r="N71" s="23">
        <v>1229000</v>
      </c>
      <c r="O71" s="23">
        <v>1176000</v>
      </c>
      <c r="P71" s="23"/>
      <c r="Q71" s="23"/>
      <c r="R71" s="23"/>
      <c r="S71" s="23">
        <v>1251000</v>
      </c>
      <c r="T71" s="23">
        <v>1199000</v>
      </c>
      <c r="U71" s="23">
        <v>1147000</v>
      </c>
      <c r="V71" s="23"/>
      <c r="W71" s="23"/>
      <c r="X71" s="23"/>
      <c r="Y71" s="23">
        <v>1213000</v>
      </c>
      <c r="Z71" s="23">
        <v>1163000</v>
      </c>
      <c r="AA71" s="23">
        <v>1112000</v>
      </c>
      <c r="AB71" s="23">
        <v>0</v>
      </c>
      <c r="AC71" s="23">
        <v>0</v>
      </c>
      <c r="AD71" s="23">
        <v>0</v>
      </c>
      <c r="AE71" s="23">
        <v>1273000</v>
      </c>
      <c r="AF71" s="23">
        <v>1221000</v>
      </c>
      <c r="AG71" s="23">
        <v>1167000</v>
      </c>
    </row>
    <row r="72" spans="1:33" x14ac:dyDescent="0.25">
      <c r="A72" s="9">
        <f t="shared" si="1"/>
        <v>69</v>
      </c>
      <c r="B72" s="22" t="s">
        <v>13</v>
      </c>
      <c r="C72" s="22"/>
      <c r="D72" s="23"/>
      <c r="E72" s="23"/>
      <c r="F72" s="23"/>
      <c r="G72" s="23">
        <v>1189000</v>
      </c>
      <c r="H72" s="23">
        <v>1138000</v>
      </c>
      <c r="I72" s="23">
        <v>1034000</v>
      </c>
      <c r="J72" s="23"/>
      <c r="K72" s="23"/>
      <c r="L72" s="23"/>
      <c r="M72" s="23">
        <v>1229000</v>
      </c>
      <c r="N72" s="23">
        <v>1176000</v>
      </c>
      <c r="O72" s="23">
        <v>1069000</v>
      </c>
      <c r="P72" s="23"/>
      <c r="Q72" s="23"/>
      <c r="R72" s="23"/>
      <c r="S72" s="23">
        <v>1199000</v>
      </c>
      <c r="T72" s="23">
        <v>1147000</v>
      </c>
      <c r="U72" s="23">
        <v>1043000</v>
      </c>
      <c r="V72" s="23"/>
      <c r="W72" s="23"/>
      <c r="X72" s="23"/>
      <c r="Y72" s="23">
        <v>1163000</v>
      </c>
      <c r="Z72" s="23">
        <v>1112000</v>
      </c>
      <c r="AA72" s="23">
        <v>1012000</v>
      </c>
      <c r="AB72" s="23">
        <v>0</v>
      </c>
      <c r="AC72" s="23">
        <v>0</v>
      </c>
      <c r="AD72" s="23">
        <v>0</v>
      </c>
      <c r="AE72" s="23">
        <v>1221000</v>
      </c>
      <c r="AF72" s="23">
        <v>1167000</v>
      </c>
      <c r="AG72" s="23">
        <v>1062000</v>
      </c>
    </row>
    <row r="73" spans="1:33" x14ac:dyDescent="0.25">
      <c r="A73" s="9">
        <f t="shared" si="1"/>
        <v>70</v>
      </c>
      <c r="B73" s="22" t="s">
        <v>17</v>
      </c>
      <c r="C73" s="22"/>
      <c r="D73" s="23"/>
      <c r="E73" s="23"/>
      <c r="F73" s="23"/>
      <c r="G73" s="23">
        <v>1448000</v>
      </c>
      <c r="H73" s="23">
        <v>1345000</v>
      </c>
      <c r="I73" s="23">
        <v>1241000</v>
      </c>
      <c r="J73" s="23"/>
      <c r="K73" s="23"/>
      <c r="L73" s="23"/>
      <c r="M73" s="23">
        <v>1497000</v>
      </c>
      <c r="N73" s="23">
        <v>1390000</v>
      </c>
      <c r="O73" s="23">
        <v>1283000</v>
      </c>
      <c r="P73" s="23"/>
      <c r="Q73" s="23"/>
      <c r="R73" s="23"/>
      <c r="S73" s="23">
        <v>1460000</v>
      </c>
      <c r="T73" s="23">
        <v>1356000</v>
      </c>
      <c r="U73" s="23">
        <v>1251000</v>
      </c>
      <c r="V73" s="23"/>
      <c r="W73" s="23"/>
      <c r="X73" s="23"/>
      <c r="Y73" s="23">
        <v>1416000</v>
      </c>
      <c r="Z73" s="23">
        <v>1315000</v>
      </c>
      <c r="AA73" s="23">
        <v>1213000</v>
      </c>
      <c r="AB73" s="23">
        <v>0</v>
      </c>
      <c r="AC73" s="23">
        <v>0</v>
      </c>
      <c r="AD73" s="23">
        <v>0</v>
      </c>
      <c r="AE73" s="23">
        <v>1487000</v>
      </c>
      <c r="AF73" s="23">
        <v>1380000</v>
      </c>
      <c r="AG73" s="23">
        <v>1273000</v>
      </c>
    </row>
    <row r="74" spans="1:33" x14ac:dyDescent="0.25">
      <c r="A74" s="9">
        <f t="shared" si="1"/>
        <v>71</v>
      </c>
      <c r="B74" s="22" t="s">
        <v>21</v>
      </c>
      <c r="C74" s="22"/>
      <c r="D74" s="23"/>
      <c r="E74" s="23"/>
      <c r="F74" s="23"/>
      <c r="G74" s="23">
        <v>455000</v>
      </c>
      <c r="H74" s="23">
        <v>331000</v>
      </c>
      <c r="I74" s="23">
        <v>279000</v>
      </c>
      <c r="J74" s="23"/>
      <c r="K74" s="23"/>
      <c r="L74" s="23"/>
      <c r="M74" s="23">
        <v>470000</v>
      </c>
      <c r="N74" s="23">
        <v>342000</v>
      </c>
      <c r="O74" s="23">
        <v>288000</v>
      </c>
      <c r="P74" s="23"/>
      <c r="Q74" s="23"/>
      <c r="R74" s="23"/>
      <c r="S74" s="23">
        <v>458000</v>
      </c>
      <c r="T74" s="23">
        <v>334000</v>
      </c>
      <c r="U74" s="23">
        <v>281000</v>
      </c>
      <c r="V74" s="23"/>
      <c r="W74" s="23"/>
      <c r="X74" s="23"/>
      <c r="Y74" s="23">
        <v>444000</v>
      </c>
      <c r="Z74" s="23">
        <v>324000</v>
      </c>
      <c r="AA74" s="23">
        <v>273000</v>
      </c>
      <c r="AB74" s="23">
        <v>0</v>
      </c>
      <c r="AC74" s="23">
        <v>0</v>
      </c>
      <c r="AD74" s="23">
        <v>0</v>
      </c>
      <c r="AE74" s="23">
        <v>466000</v>
      </c>
      <c r="AF74" s="23">
        <v>340000</v>
      </c>
      <c r="AG74" s="23">
        <v>287000</v>
      </c>
    </row>
    <row r="75" spans="1:33" x14ac:dyDescent="0.25">
      <c r="A75" s="9">
        <f t="shared" si="1"/>
        <v>72</v>
      </c>
      <c r="B75" s="22" t="s">
        <v>9</v>
      </c>
      <c r="C75" s="22"/>
      <c r="D75" s="23"/>
      <c r="E75" s="23"/>
      <c r="F75" s="23"/>
      <c r="G75" s="23">
        <v>362000</v>
      </c>
      <c r="H75" s="23">
        <v>269000</v>
      </c>
      <c r="I75" s="23">
        <v>259000</v>
      </c>
      <c r="J75" s="23"/>
      <c r="K75" s="23"/>
      <c r="L75" s="23"/>
      <c r="M75" s="23">
        <v>374000</v>
      </c>
      <c r="N75" s="23">
        <v>278000</v>
      </c>
      <c r="O75" s="23">
        <v>268000</v>
      </c>
      <c r="P75" s="23"/>
      <c r="Q75" s="23"/>
      <c r="R75" s="23"/>
      <c r="S75" s="23">
        <v>365000</v>
      </c>
      <c r="T75" s="23">
        <v>271000</v>
      </c>
      <c r="U75" s="23">
        <v>261000</v>
      </c>
      <c r="V75" s="23"/>
      <c r="W75" s="23"/>
      <c r="X75" s="23"/>
      <c r="Y75" s="23">
        <v>354000</v>
      </c>
      <c r="Z75" s="23">
        <v>263000</v>
      </c>
      <c r="AA75" s="23">
        <v>253000</v>
      </c>
      <c r="AB75" s="23">
        <v>0</v>
      </c>
      <c r="AC75" s="23">
        <v>0</v>
      </c>
      <c r="AD75" s="23">
        <v>0</v>
      </c>
      <c r="AE75" s="23">
        <v>372000</v>
      </c>
      <c r="AF75" s="23">
        <v>276000</v>
      </c>
      <c r="AG75" s="23">
        <v>266000</v>
      </c>
    </row>
    <row r="76" spans="1:33" x14ac:dyDescent="0.25">
      <c r="A76" s="9">
        <f t="shared" si="1"/>
        <v>73</v>
      </c>
      <c r="B76" s="22" t="s">
        <v>9</v>
      </c>
      <c r="C76" s="22" t="s">
        <v>100</v>
      </c>
      <c r="D76" s="23"/>
      <c r="E76" s="23"/>
      <c r="F76" s="23"/>
      <c r="G76" s="23">
        <v>362000</v>
      </c>
      <c r="H76" s="23">
        <v>269000</v>
      </c>
      <c r="I76" s="23">
        <v>259000</v>
      </c>
      <c r="J76" s="23"/>
      <c r="K76" s="23"/>
      <c r="L76" s="23"/>
      <c r="M76" s="23">
        <v>374000</v>
      </c>
      <c r="N76" s="23">
        <v>278000</v>
      </c>
      <c r="O76" s="23">
        <v>268000</v>
      </c>
      <c r="P76" s="23"/>
      <c r="Q76" s="23"/>
      <c r="R76" s="23"/>
      <c r="S76" s="23">
        <v>365000</v>
      </c>
      <c r="T76" s="23">
        <v>271000</v>
      </c>
      <c r="U76" s="23">
        <v>261000</v>
      </c>
      <c r="V76" s="23"/>
      <c r="W76" s="23"/>
      <c r="X76" s="23"/>
      <c r="Y76" s="23">
        <v>354000</v>
      </c>
      <c r="Z76" s="23">
        <v>263000</v>
      </c>
      <c r="AA76" s="23">
        <v>253000</v>
      </c>
      <c r="AB76" s="23">
        <v>0</v>
      </c>
      <c r="AC76" s="23">
        <v>0</v>
      </c>
      <c r="AD76" s="23">
        <v>0</v>
      </c>
      <c r="AE76" s="23">
        <v>372000</v>
      </c>
      <c r="AF76" s="23">
        <v>276000</v>
      </c>
      <c r="AG76" s="23">
        <v>266000</v>
      </c>
    </row>
    <row r="77" spans="1:33" x14ac:dyDescent="0.25">
      <c r="A77" s="9">
        <f t="shared" si="1"/>
        <v>74</v>
      </c>
      <c r="B77" s="22" t="s">
        <v>9</v>
      </c>
      <c r="C77" s="22" t="s">
        <v>101</v>
      </c>
      <c r="D77" s="23"/>
      <c r="E77" s="23"/>
      <c r="F77" s="23"/>
      <c r="G77" s="23">
        <v>362000</v>
      </c>
      <c r="H77" s="23">
        <v>269000</v>
      </c>
      <c r="I77" s="23">
        <v>259000</v>
      </c>
      <c r="J77" s="23"/>
      <c r="K77" s="23"/>
      <c r="L77" s="23"/>
      <c r="M77" s="23">
        <v>374000</v>
      </c>
      <c r="N77" s="23">
        <v>278000</v>
      </c>
      <c r="O77" s="23">
        <v>268000</v>
      </c>
      <c r="P77" s="23"/>
      <c r="Q77" s="23"/>
      <c r="R77" s="23"/>
      <c r="S77" s="23">
        <v>365000</v>
      </c>
      <c r="T77" s="23">
        <v>271000</v>
      </c>
      <c r="U77" s="23">
        <v>261000</v>
      </c>
      <c r="V77" s="23"/>
      <c r="W77" s="23"/>
      <c r="X77" s="23"/>
      <c r="Y77" s="23">
        <v>354000</v>
      </c>
      <c r="Z77" s="23">
        <v>263000</v>
      </c>
      <c r="AA77" s="23">
        <v>253000</v>
      </c>
      <c r="AB77" s="23">
        <v>0</v>
      </c>
      <c r="AC77" s="23">
        <v>0</v>
      </c>
      <c r="AD77" s="23">
        <v>0</v>
      </c>
      <c r="AE77" s="23">
        <v>372000</v>
      </c>
      <c r="AF77" s="23">
        <v>276000</v>
      </c>
      <c r="AG77" s="23">
        <v>266000</v>
      </c>
    </row>
    <row r="78" spans="1:33" x14ac:dyDescent="0.25">
      <c r="A78" s="9">
        <f t="shared" si="1"/>
        <v>75</v>
      </c>
      <c r="B78" s="22" t="s">
        <v>9</v>
      </c>
      <c r="C78" s="22" t="s">
        <v>102</v>
      </c>
      <c r="D78" s="23"/>
      <c r="E78" s="23"/>
      <c r="F78" s="23"/>
      <c r="G78" s="23">
        <v>362000</v>
      </c>
      <c r="H78" s="23">
        <v>269000</v>
      </c>
      <c r="I78" s="23">
        <v>259000</v>
      </c>
      <c r="J78" s="23"/>
      <c r="K78" s="23"/>
      <c r="L78" s="23"/>
      <c r="M78" s="23">
        <v>374000</v>
      </c>
      <c r="N78" s="23">
        <v>278000</v>
      </c>
      <c r="O78" s="23">
        <v>268000</v>
      </c>
      <c r="P78" s="23"/>
      <c r="Q78" s="23"/>
      <c r="R78" s="23"/>
      <c r="S78" s="23">
        <v>365000</v>
      </c>
      <c r="T78" s="23">
        <v>271000</v>
      </c>
      <c r="U78" s="23">
        <v>261000</v>
      </c>
      <c r="V78" s="23"/>
      <c r="W78" s="23"/>
      <c r="X78" s="23"/>
      <c r="Y78" s="23">
        <v>354000</v>
      </c>
      <c r="Z78" s="23">
        <v>263000</v>
      </c>
      <c r="AA78" s="23">
        <v>253000</v>
      </c>
      <c r="AB78" s="23">
        <v>0</v>
      </c>
      <c r="AC78" s="23">
        <v>0</v>
      </c>
      <c r="AD78" s="23">
        <v>0</v>
      </c>
      <c r="AE78" s="23">
        <v>372000</v>
      </c>
      <c r="AF78" s="23">
        <v>276000</v>
      </c>
      <c r="AG78" s="23">
        <v>266000</v>
      </c>
    </row>
    <row r="79" spans="1:33" x14ac:dyDescent="0.25">
      <c r="A79" s="9">
        <f t="shared" si="1"/>
        <v>76</v>
      </c>
      <c r="B79" s="22" t="s">
        <v>103</v>
      </c>
      <c r="C79" s="22" t="s">
        <v>104</v>
      </c>
      <c r="D79" s="23"/>
      <c r="E79" s="23"/>
      <c r="F79" s="23"/>
      <c r="G79" s="23">
        <v>372000</v>
      </c>
      <c r="H79" s="23">
        <v>362000</v>
      </c>
      <c r="I79" s="23">
        <v>279000</v>
      </c>
      <c r="J79" s="23"/>
      <c r="K79" s="23"/>
      <c r="L79" s="23"/>
      <c r="M79" s="23">
        <v>384000</v>
      </c>
      <c r="N79" s="23">
        <v>374000</v>
      </c>
      <c r="O79" s="23">
        <v>288000</v>
      </c>
      <c r="P79" s="23"/>
      <c r="Q79" s="23"/>
      <c r="R79" s="23"/>
      <c r="S79" s="23">
        <v>375000</v>
      </c>
      <c r="T79" s="23">
        <v>365000</v>
      </c>
      <c r="U79" s="23">
        <v>281000</v>
      </c>
      <c r="V79" s="23"/>
      <c r="W79" s="23"/>
      <c r="X79" s="23"/>
      <c r="Y79" s="23">
        <v>364000</v>
      </c>
      <c r="Z79" s="23">
        <v>354000</v>
      </c>
      <c r="AA79" s="23">
        <v>273000</v>
      </c>
      <c r="AB79" s="23">
        <v>0</v>
      </c>
      <c r="AC79" s="23">
        <v>0</v>
      </c>
      <c r="AD79" s="23">
        <v>0</v>
      </c>
      <c r="AE79" s="23">
        <v>382000</v>
      </c>
      <c r="AF79" s="23">
        <v>372000</v>
      </c>
      <c r="AG79" s="23">
        <v>287000</v>
      </c>
    </row>
    <row r="80" spans="1:33" x14ac:dyDescent="0.25">
      <c r="A80" s="9">
        <f t="shared" si="1"/>
        <v>77</v>
      </c>
      <c r="B80" s="22" t="s">
        <v>103</v>
      </c>
      <c r="C80" s="22" t="s">
        <v>105</v>
      </c>
      <c r="D80" s="23"/>
      <c r="E80" s="23"/>
      <c r="F80" s="23"/>
      <c r="G80" s="23">
        <v>362000</v>
      </c>
      <c r="H80" s="23">
        <v>352000</v>
      </c>
      <c r="I80" s="23">
        <v>269000</v>
      </c>
      <c r="J80" s="23"/>
      <c r="K80" s="23"/>
      <c r="L80" s="23"/>
      <c r="M80" s="23">
        <v>374000</v>
      </c>
      <c r="N80" s="23">
        <v>364000</v>
      </c>
      <c r="O80" s="23">
        <v>278000</v>
      </c>
      <c r="P80" s="23"/>
      <c r="Q80" s="23"/>
      <c r="R80" s="23"/>
      <c r="S80" s="23">
        <v>365000</v>
      </c>
      <c r="T80" s="23">
        <v>355000</v>
      </c>
      <c r="U80" s="23">
        <v>271000</v>
      </c>
      <c r="V80" s="23"/>
      <c r="W80" s="23"/>
      <c r="X80" s="23"/>
      <c r="Y80" s="23">
        <v>354000</v>
      </c>
      <c r="Z80" s="23">
        <v>344000</v>
      </c>
      <c r="AA80" s="23">
        <v>263000</v>
      </c>
      <c r="AB80" s="23">
        <v>0</v>
      </c>
      <c r="AC80" s="23">
        <v>0</v>
      </c>
      <c r="AD80" s="23">
        <v>0</v>
      </c>
      <c r="AE80" s="23">
        <v>372000</v>
      </c>
      <c r="AF80" s="23">
        <v>361000</v>
      </c>
      <c r="AG80" s="23">
        <v>276000</v>
      </c>
    </row>
    <row r="81" spans="1:33" x14ac:dyDescent="0.25">
      <c r="A81" s="9">
        <f t="shared" si="1"/>
        <v>78</v>
      </c>
      <c r="B81" s="22" t="s">
        <v>35</v>
      </c>
      <c r="C81" s="22"/>
      <c r="D81" s="23"/>
      <c r="E81" s="23"/>
      <c r="F81" s="23"/>
      <c r="G81" s="23">
        <v>434000</v>
      </c>
      <c r="H81" s="23">
        <v>372000</v>
      </c>
      <c r="I81" s="23">
        <v>331000</v>
      </c>
      <c r="J81" s="23"/>
      <c r="K81" s="23"/>
      <c r="L81" s="23"/>
      <c r="M81" s="23">
        <v>449000</v>
      </c>
      <c r="N81" s="23">
        <v>384000</v>
      </c>
      <c r="O81" s="23">
        <v>342000</v>
      </c>
      <c r="P81" s="23"/>
      <c r="Q81" s="23"/>
      <c r="R81" s="23"/>
      <c r="S81" s="23">
        <v>438000</v>
      </c>
      <c r="T81" s="23">
        <v>375000</v>
      </c>
      <c r="U81" s="23">
        <v>334000</v>
      </c>
      <c r="V81" s="23"/>
      <c r="W81" s="23"/>
      <c r="X81" s="23"/>
      <c r="Y81" s="23">
        <v>425000</v>
      </c>
      <c r="Z81" s="23">
        <v>364000</v>
      </c>
      <c r="AA81" s="23">
        <v>324000</v>
      </c>
      <c r="AB81" s="23">
        <v>0</v>
      </c>
      <c r="AC81" s="23">
        <v>0</v>
      </c>
      <c r="AD81" s="23">
        <v>0</v>
      </c>
      <c r="AE81" s="23">
        <v>446000</v>
      </c>
      <c r="AF81" s="23">
        <v>382000</v>
      </c>
      <c r="AG81" s="23">
        <v>340000</v>
      </c>
    </row>
    <row r="82" spans="1:33" x14ac:dyDescent="0.25">
      <c r="A82" s="12">
        <f>A81+1</f>
        <v>79</v>
      </c>
      <c r="B82" s="13" t="s">
        <v>19</v>
      </c>
      <c r="C82" s="13"/>
      <c r="D82" s="14"/>
      <c r="E82" s="14"/>
      <c r="F82" s="14"/>
      <c r="G82" s="14">
        <v>383000</v>
      </c>
      <c r="H82" s="14">
        <v>352000</v>
      </c>
      <c r="I82" s="14">
        <v>300000</v>
      </c>
      <c r="J82" s="14"/>
      <c r="K82" s="14"/>
      <c r="L82" s="14"/>
      <c r="M82" s="14">
        <v>396000</v>
      </c>
      <c r="N82" s="14">
        <v>364000</v>
      </c>
      <c r="O82" s="14">
        <v>310000</v>
      </c>
      <c r="P82" s="14"/>
      <c r="Q82" s="14"/>
      <c r="R82" s="14"/>
      <c r="S82" s="14">
        <v>386000</v>
      </c>
      <c r="T82" s="14">
        <v>355000</v>
      </c>
      <c r="U82" s="14">
        <v>302000</v>
      </c>
      <c r="V82" s="14"/>
      <c r="W82" s="14"/>
      <c r="X82" s="14"/>
      <c r="Y82" s="14">
        <v>374000</v>
      </c>
      <c r="Z82" s="14">
        <v>344000</v>
      </c>
      <c r="AA82" s="14">
        <v>293000</v>
      </c>
      <c r="AB82" s="14">
        <v>0</v>
      </c>
      <c r="AC82" s="14">
        <v>0</v>
      </c>
      <c r="AD82" s="14">
        <v>0</v>
      </c>
      <c r="AE82" s="14">
        <v>393000</v>
      </c>
      <c r="AF82" s="14">
        <v>361000</v>
      </c>
      <c r="AG82" s="14">
        <v>308000</v>
      </c>
    </row>
  </sheetData>
  <mergeCells count="8">
    <mergeCell ref="AB1:AG1"/>
    <mergeCell ref="V1:AA1"/>
    <mergeCell ref="P1:U1"/>
    <mergeCell ref="D1:I1"/>
    <mergeCell ref="A2:A3"/>
    <mergeCell ref="B2:B3"/>
    <mergeCell ref="C2:C3"/>
    <mergeCell ref="J1:O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O205"/>
  <sheetViews>
    <sheetView workbookViewId="0">
      <selection activeCell="M154" sqref="M154"/>
    </sheetView>
  </sheetViews>
  <sheetFormatPr defaultRowHeight="15" x14ac:dyDescent="0.25"/>
  <cols>
    <col min="1" max="1" width="13.28515625" bestFit="1" customWidth="1"/>
    <col min="2" max="2" width="20.42578125" bestFit="1" customWidth="1"/>
    <col min="4" max="4" width="12.140625" bestFit="1" customWidth="1"/>
    <col min="5" max="5" width="9.28515625" bestFit="1" customWidth="1"/>
    <col min="6" max="6" width="11.5703125" bestFit="1" customWidth="1"/>
    <col min="7" max="7" width="9.85546875" bestFit="1" customWidth="1"/>
    <col min="8" max="10" width="11.5703125" bestFit="1" customWidth="1"/>
    <col min="11" max="11" width="9.85546875" style="38" bestFit="1" customWidth="1"/>
    <col min="12" max="12" width="2" style="38" bestFit="1" customWidth="1"/>
    <col min="13" max="15" width="9.85546875" style="38" bestFit="1" customWidth="1"/>
  </cols>
  <sheetData>
    <row r="1" spans="1:15" ht="47.25" x14ac:dyDescent="0.25">
      <c r="A1" s="31" t="s">
        <v>275</v>
      </c>
      <c r="B1" s="31" t="s">
        <v>276</v>
      </c>
      <c r="C1" s="31" t="s">
        <v>200</v>
      </c>
      <c r="D1" s="31" t="s">
        <v>277</v>
      </c>
      <c r="E1" s="31" t="s">
        <v>278</v>
      </c>
      <c r="F1" s="31" t="s">
        <v>279</v>
      </c>
      <c r="G1" s="31" t="s">
        <v>280</v>
      </c>
      <c r="H1" s="31" t="s">
        <v>281</v>
      </c>
      <c r="I1" s="31" t="s">
        <v>282</v>
      </c>
      <c r="J1" s="31" t="s">
        <v>283</v>
      </c>
      <c r="K1" s="134" t="s">
        <v>426</v>
      </c>
      <c r="L1" s="135"/>
      <c r="M1" s="135"/>
      <c r="N1" s="135"/>
      <c r="O1" s="135"/>
    </row>
    <row r="2" spans="1:15" ht="15.75" hidden="1" x14ac:dyDescent="0.25">
      <c r="A2" s="32" t="s">
        <v>27</v>
      </c>
      <c r="B2" s="32" t="s">
        <v>284</v>
      </c>
      <c r="C2" s="33" t="s">
        <v>284</v>
      </c>
      <c r="D2" s="34">
        <v>45839</v>
      </c>
      <c r="E2" s="35">
        <v>19700</v>
      </c>
      <c r="F2" s="36">
        <v>0</v>
      </c>
      <c r="G2" s="36">
        <v>0</v>
      </c>
      <c r="H2" s="36">
        <v>424000</v>
      </c>
      <c r="I2" s="36">
        <v>330000</v>
      </c>
      <c r="J2" s="36">
        <v>287000</v>
      </c>
      <c r="K2" s="38">
        <f>ROUND(F2*2.74%-F2,-3)</f>
        <v>0</v>
      </c>
      <c r="L2" s="38">
        <f t="shared" ref="L2:L65" si="0">ROUND(G2*2.74%-G2,-3)</f>
        <v>0</v>
      </c>
      <c r="M2" s="38">
        <f t="shared" ref="M2:M65" si="1">ROUND(H2*2.74%-H2,-3)</f>
        <v>-412000</v>
      </c>
      <c r="N2" s="38">
        <f t="shared" ref="N2:N65" si="2">ROUND(I2*2.74%-I2,-3)</f>
        <v>-321000</v>
      </c>
      <c r="O2" s="38">
        <f t="shared" ref="O2:O65" si="3">ROUND(J2*2.74%-J2,-3)</f>
        <v>-279000</v>
      </c>
    </row>
    <row r="3" spans="1:15" ht="15.75" hidden="1" x14ac:dyDescent="0.25">
      <c r="A3" s="32" t="s">
        <v>27</v>
      </c>
      <c r="B3" s="32" t="s">
        <v>44</v>
      </c>
      <c r="C3" s="33" t="s">
        <v>284</v>
      </c>
      <c r="D3" s="34">
        <v>45839</v>
      </c>
      <c r="E3" s="35">
        <v>19700</v>
      </c>
      <c r="F3" s="36">
        <v>0</v>
      </c>
      <c r="G3" s="36">
        <v>0</v>
      </c>
      <c r="H3" s="36">
        <v>509000</v>
      </c>
      <c r="I3" s="36">
        <v>415000</v>
      </c>
      <c r="J3" s="36">
        <v>340000</v>
      </c>
      <c r="K3" s="38">
        <f t="shared" ref="K3:K66" si="4">ROUND(F3*2.74%-F3,-3)</f>
        <v>0</v>
      </c>
      <c r="L3" s="38">
        <f t="shared" si="0"/>
        <v>0</v>
      </c>
      <c r="M3" s="38">
        <f t="shared" si="1"/>
        <v>-495000</v>
      </c>
      <c r="N3" s="38">
        <f t="shared" si="2"/>
        <v>-404000</v>
      </c>
      <c r="O3" s="38">
        <f t="shared" si="3"/>
        <v>-331000</v>
      </c>
    </row>
    <row r="4" spans="1:15" ht="15.75" hidden="1" x14ac:dyDescent="0.25">
      <c r="A4" s="32" t="s">
        <v>27</v>
      </c>
      <c r="B4" s="32" t="s">
        <v>359</v>
      </c>
      <c r="C4" s="33" t="s">
        <v>284</v>
      </c>
      <c r="D4" s="34">
        <v>45839</v>
      </c>
      <c r="E4" s="35">
        <v>19700</v>
      </c>
      <c r="F4" s="36">
        <v>0</v>
      </c>
      <c r="G4" s="36">
        <v>0</v>
      </c>
      <c r="H4" s="36">
        <v>509000</v>
      </c>
      <c r="I4" s="36">
        <v>415000</v>
      </c>
      <c r="J4" s="36">
        <v>340000</v>
      </c>
      <c r="K4" s="38">
        <f t="shared" si="4"/>
        <v>0</v>
      </c>
      <c r="L4" s="38">
        <f t="shared" si="0"/>
        <v>0</v>
      </c>
      <c r="M4" s="38">
        <f t="shared" si="1"/>
        <v>-495000</v>
      </c>
      <c r="N4" s="38">
        <f t="shared" si="2"/>
        <v>-404000</v>
      </c>
      <c r="O4" s="38">
        <f t="shared" si="3"/>
        <v>-331000</v>
      </c>
    </row>
    <row r="5" spans="1:15" ht="15.75" hidden="1" x14ac:dyDescent="0.25">
      <c r="A5" s="32" t="s">
        <v>27</v>
      </c>
      <c r="B5" s="32" t="s">
        <v>376</v>
      </c>
      <c r="C5" s="33" t="s">
        <v>284</v>
      </c>
      <c r="D5" s="34">
        <v>45839</v>
      </c>
      <c r="E5" s="35">
        <v>19700</v>
      </c>
      <c r="F5" s="36">
        <v>0</v>
      </c>
      <c r="G5" s="36">
        <v>0</v>
      </c>
      <c r="H5" s="36">
        <v>1221000</v>
      </c>
      <c r="I5" s="36">
        <v>1167000</v>
      </c>
      <c r="J5" s="36">
        <v>1062000</v>
      </c>
      <c r="K5" s="38">
        <f t="shared" si="4"/>
        <v>0</v>
      </c>
      <c r="L5" s="38">
        <f t="shared" si="0"/>
        <v>0</v>
      </c>
      <c r="M5" s="38">
        <f t="shared" si="1"/>
        <v>-1188000</v>
      </c>
      <c r="N5" s="38">
        <f t="shared" si="2"/>
        <v>-1135000</v>
      </c>
      <c r="O5" s="38">
        <f t="shared" si="3"/>
        <v>-1033000</v>
      </c>
    </row>
    <row r="6" spans="1:15" ht="15.75" hidden="1" x14ac:dyDescent="0.25">
      <c r="A6" s="32" t="s">
        <v>27</v>
      </c>
      <c r="B6" s="32" t="s">
        <v>92</v>
      </c>
      <c r="C6" s="33" t="s">
        <v>284</v>
      </c>
      <c r="D6" s="34">
        <v>45839</v>
      </c>
      <c r="E6" s="35">
        <v>19700</v>
      </c>
      <c r="F6" s="36">
        <v>0</v>
      </c>
      <c r="G6" s="36">
        <v>0</v>
      </c>
      <c r="H6" s="36">
        <v>552000</v>
      </c>
      <c r="I6" s="36">
        <v>499000</v>
      </c>
      <c r="J6" s="36">
        <v>466000</v>
      </c>
      <c r="K6" s="38">
        <f t="shared" si="4"/>
        <v>0</v>
      </c>
      <c r="L6" s="38">
        <f t="shared" si="0"/>
        <v>0</v>
      </c>
      <c r="M6" s="38">
        <f t="shared" si="1"/>
        <v>-537000</v>
      </c>
      <c r="N6" s="38">
        <f t="shared" si="2"/>
        <v>-485000</v>
      </c>
      <c r="O6" s="38">
        <f t="shared" si="3"/>
        <v>-453000</v>
      </c>
    </row>
    <row r="7" spans="1:15" ht="15.75" hidden="1" x14ac:dyDescent="0.25">
      <c r="A7" s="32" t="s">
        <v>27</v>
      </c>
      <c r="B7" s="32" t="s">
        <v>374</v>
      </c>
      <c r="C7" s="33" t="s">
        <v>284</v>
      </c>
      <c r="D7" s="34">
        <v>45839</v>
      </c>
      <c r="E7" s="35">
        <v>19700</v>
      </c>
      <c r="F7" s="36">
        <v>0</v>
      </c>
      <c r="G7" s="36">
        <v>0</v>
      </c>
      <c r="H7" s="36">
        <v>509000</v>
      </c>
      <c r="I7" s="36">
        <v>415000</v>
      </c>
      <c r="J7" s="36">
        <v>372000</v>
      </c>
      <c r="K7" s="38">
        <f t="shared" si="4"/>
        <v>0</v>
      </c>
      <c r="L7" s="38">
        <f t="shared" si="0"/>
        <v>0</v>
      </c>
      <c r="M7" s="38">
        <f t="shared" si="1"/>
        <v>-495000</v>
      </c>
      <c r="N7" s="38">
        <f t="shared" si="2"/>
        <v>-404000</v>
      </c>
      <c r="O7" s="38">
        <f t="shared" si="3"/>
        <v>-362000</v>
      </c>
    </row>
    <row r="8" spans="1:15" ht="15.75" hidden="1" x14ac:dyDescent="0.25">
      <c r="A8" s="32" t="s">
        <v>27</v>
      </c>
      <c r="B8" s="32" t="s">
        <v>375</v>
      </c>
      <c r="C8" s="33" t="s">
        <v>284</v>
      </c>
      <c r="D8" s="34">
        <v>45839</v>
      </c>
      <c r="E8" s="35">
        <v>19700</v>
      </c>
      <c r="F8" s="36">
        <v>0</v>
      </c>
      <c r="G8" s="36">
        <v>0</v>
      </c>
      <c r="H8" s="36">
        <v>509000</v>
      </c>
      <c r="I8" s="36">
        <v>415000</v>
      </c>
      <c r="J8" s="36">
        <v>372000</v>
      </c>
      <c r="K8" s="38">
        <f t="shared" si="4"/>
        <v>0</v>
      </c>
      <c r="L8" s="38">
        <f t="shared" si="0"/>
        <v>0</v>
      </c>
      <c r="M8" s="38">
        <f t="shared" si="1"/>
        <v>-495000</v>
      </c>
      <c r="N8" s="38">
        <f t="shared" si="2"/>
        <v>-404000</v>
      </c>
      <c r="O8" s="38">
        <f t="shared" si="3"/>
        <v>-362000</v>
      </c>
    </row>
    <row r="9" spans="1:15" ht="15.75" hidden="1" x14ac:dyDescent="0.25">
      <c r="A9" s="32" t="s">
        <v>32</v>
      </c>
      <c r="B9" s="32" t="s">
        <v>284</v>
      </c>
      <c r="C9" s="33" t="s">
        <v>284</v>
      </c>
      <c r="D9" s="34">
        <v>45839</v>
      </c>
      <c r="E9" s="35">
        <v>19700</v>
      </c>
      <c r="F9" s="36">
        <v>0</v>
      </c>
      <c r="G9" s="36">
        <v>0</v>
      </c>
      <c r="H9" s="36">
        <v>530000</v>
      </c>
      <c r="I9" s="36">
        <v>509000</v>
      </c>
      <c r="J9" s="36">
        <v>393000</v>
      </c>
      <c r="K9" s="38">
        <f t="shared" si="4"/>
        <v>0</v>
      </c>
      <c r="L9" s="38">
        <f t="shared" si="0"/>
        <v>0</v>
      </c>
      <c r="M9" s="38">
        <f t="shared" si="1"/>
        <v>-515000</v>
      </c>
      <c r="N9" s="38">
        <f t="shared" si="2"/>
        <v>-495000</v>
      </c>
      <c r="O9" s="38">
        <f t="shared" si="3"/>
        <v>-382000</v>
      </c>
    </row>
    <row r="10" spans="1:15" ht="15.75" hidden="1" x14ac:dyDescent="0.25">
      <c r="A10" s="32" t="s">
        <v>32</v>
      </c>
      <c r="B10" s="32" t="s">
        <v>22</v>
      </c>
      <c r="C10" s="33" t="s">
        <v>284</v>
      </c>
      <c r="D10" s="34">
        <v>45839</v>
      </c>
      <c r="E10" s="35">
        <v>19700</v>
      </c>
      <c r="F10" s="36">
        <v>0</v>
      </c>
      <c r="G10" s="36">
        <v>0</v>
      </c>
      <c r="H10" s="36">
        <v>530000</v>
      </c>
      <c r="I10" s="36">
        <v>489000</v>
      </c>
      <c r="J10" s="36">
        <v>393000</v>
      </c>
      <c r="K10" s="38">
        <f t="shared" si="4"/>
        <v>0</v>
      </c>
      <c r="L10" s="38">
        <f t="shared" si="0"/>
        <v>0</v>
      </c>
      <c r="M10" s="38">
        <f t="shared" si="1"/>
        <v>-515000</v>
      </c>
      <c r="N10" s="38">
        <f t="shared" si="2"/>
        <v>-476000</v>
      </c>
      <c r="O10" s="38">
        <f t="shared" si="3"/>
        <v>-382000</v>
      </c>
    </row>
    <row r="11" spans="1:15" ht="15.75" hidden="1" x14ac:dyDescent="0.25">
      <c r="A11" s="32" t="s">
        <v>32</v>
      </c>
      <c r="B11" s="32" t="s">
        <v>293</v>
      </c>
      <c r="C11" s="33" t="s">
        <v>284</v>
      </c>
      <c r="D11" s="34">
        <v>45839</v>
      </c>
      <c r="E11" s="35">
        <v>19700</v>
      </c>
      <c r="F11" s="36">
        <v>0</v>
      </c>
      <c r="G11" s="36">
        <v>0</v>
      </c>
      <c r="H11" s="36">
        <v>530000</v>
      </c>
      <c r="I11" s="36">
        <v>489000</v>
      </c>
      <c r="J11" s="36">
        <v>393000</v>
      </c>
      <c r="K11" s="38">
        <f t="shared" si="4"/>
        <v>0</v>
      </c>
      <c r="L11" s="38">
        <f t="shared" si="0"/>
        <v>0</v>
      </c>
      <c r="M11" s="38">
        <f t="shared" si="1"/>
        <v>-515000</v>
      </c>
      <c r="N11" s="38">
        <f t="shared" si="2"/>
        <v>-476000</v>
      </c>
      <c r="O11" s="38">
        <f t="shared" si="3"/>
        <v>-382000</v>
      </c>
    </row>
    <row r="12" spans="1:15" ht="15.75" hidden="1" x14ac:dyDescent="0.25">
      <c r="A12" s="32" t="s">
        <v>32</v>
      </c>
      <c r="B12" s="32" t="s">
        <v>62</v>
      </c>
      <c r="C12" s="33" t="s">
        <v>284</v>
      </c>
      <c r="D12" s="34">
        <v>45839</v>
      </c>
      <c r="E12" s="35">
        <v>19700</v>
      </c>
      <c r="F12" s="36">
        <v>0</v>
      </c>
      <c r="G12" s="36">
        <v>0</v>
      </c>
      <c r="H12" s="36">
        <v>585000</v>
      </c>
      <c r="I12" s="36">
        <v>562000</v>
      </c>
      <c r="J12" s="36">
        <v>478000</v>
      </c>
      <c r="K12" s="38">
        <f t="shared" si="4"/>
        <v>0</v>
      </c>
      <c r="L12" s="38">
        <f t="shared" si="0"/>
        <v>0</v>
      </c>
      <c r="M12" s="38">
        <f t="shared" si="1"/>
        <v>-569000</v>
      </c>
      <c r="N12" s="38">
        <f t="shared" si="2"/>
        <v>-547000</v>
      </c>
      <c r="O12" s="38">
        <f t="shared" si="3"/>
        <v>-465000</v>
      </c>
    </row>
    <row r="13" spans="1:15" ht="15.75" hidden="1" x14ac:dyDescent="0.25">
      <c r="A13" s="32" t="s">
        <v>20</v>
      </c>
      <c r="B13" s="32" t="s">
        <v>284</v>
      </c>
      <c r="C13" s="33" t="s">
        <v>284</v>
      </c>
      <c r="D13" s="34">
        <v>45839</v>
      </c>
      <c r="E13" s="35">
        <v>19700</v>
      </c>
      <c r="F13" s="36">
        <v>0</v>
      </c>
      <c r="G13" s="36">
        <v>0</v>
      </c>
      <c r="H13" s="36">
        <v>400000</v>
      </c>
      <c r="I13" s="36">
        <v>330000</v>
      </c>
      <c r="J13" s="36">
        <v>266000</v>
      </c>
      <c r="K13" s="38">
        <f t="shared" si="4"/>
        <v>0</v>
      </c>
      <c r="L13" s="38">
        <f t="shared" si="0"/>
        <v>0</v>
      </c>
      <c r="M13" s="38">
        <f t="shared" si="1"/>
        <v>-389000</v>
      </c>
      <c r="N13" s="38">
        <f t="shared" si="2"/>
        <v>-321000</v>
      </c>
      <c r="O13" s="38">
        <f t="shared" si="3"/>
        <v>-259000</v>
      </c>
    </row>
    <row r="14" spans="1:15" ht="15.75" hidden="1" x14ac:dyDescent="0.25">
      <c r="A14" s="32" t="s">
        <v>20</v>
      </c>
      <c r="B14" s="32" t="s">
        <v>407</v>
      </c>
      <c r="C14" s="33" t="s">
        <v>284</v>
      </c>
      <c r="D14" s="34">
        <v>45839</v>
      </c>
      <c r="E14" s="35">
        <v>19700</v>
      </c>
      <c r="F14" s="36">
        <v>0</v>
      </c>
      <c r="G14" s="36">
        <v>0</v>
      </c>
      <c r="H14" s="36">
        <v>466000</v>
      </c>
      <c r="I14" s="36">
        <v>340000</v>
      </c>
      <c r="J14" s="36">
        <v>287000</v>
      </c>
      <c r="K14" s="38">
        <f t="shared" si="4"/>
        <v>0</v>
      </c>
      <c r="L14" s="38">
        <f t="shared" si="0"/>
        <v>0</v>
      </c>
      <c r="M14" s="38">
        <f t="shared" si="1"/>
        <v>-453000</v>
      </c>
      <c r="N14" s="38">
        <f t="shared" si="2"/>
        <v>-331000</v>
      </c>
      <c r="O14" s="38">
        <f t="shared" si="3"/>
        <v>-279000</v>
      </c>
    </row>
    <row r="15" spans="1:15" ht="15.75" hidden="1" x14ac:dyDescent="0.25">
      <c r="A15" s="32" t="s">
        <v>20</v>
      </c>
      <c r="B15" s="32" t="s">
        <v>359</v>
      </c>
      <c r="C15" s="33" t="s">
        <v>284</v>
      </c>
      <c r="D15" s="34">
        <v>45839</v>
      </c>
      <c r="E15" s="35">
        <v>19700</v>
      </c>
      <c r="F15" s="36">
        <v>0</v>
      </c>
      <c r="G15" s="36">
        <v>0</v>
      </c>
      <c r="H15" s="36">
        <v>403000</v>
      </c>
      <c r="I15" s="36">
        <v>382000</v>
      </c>
      <c r="J15" s="36">
        <v>308000</v>
      </c>
      <c r="K15" s="38">
        <f t="shared" si="4"/>
        <v>0</v>
      </c>
      <c r="L15" s="38">
        <f t="shared" si="0"/>
        <v>0</v>
      </c>
      <c r="M15" s="38">
        <f t="shared" si="1"/>
        <v>-392000</v>
      </c>
      <c r="N15" s="38">
        <f t="shared" si="2"/>
        <v>-372000</v>
      </c>
      <c r="O15" s="38">
        <f t="shared" si="3"/>
        <v>-300000</v>
      </c>
    </row>
    <row r="16" spans="1:15" ht="15.75" hidden="1" x14ac:dyDescent="0.25">
      <c r="A16" s="32" t="s">
        <v>20</v>
      </c>
      <c r="B16" s="32" t="s">
        <v>63</v>
      </c>
      <c r="C16" s="33" t="s">
        <v>284</v>
      </c>
      <c r="D16" s="34">
        <v>45839</v>
      </c>
      <c r="E16" s="35">
        <v>19700</v>
      </c>
      <c r="F16" s="36">
        <v>0</v>
      </c>
      <c r="G16" s="36">
        <v>0</v>
      </c>
      <c r="H16" s="36">
        <v>421000</v>
      </c>
      <c r="I16" s="36">
        <v>403000</v>
      </c>
      <c r="J16" s="36">
        <v>287000</v>
      </c>
      <c r="K16" s="38">
        <f t="shared" si="4"/>
        <v>0</v>
      </c>
      <c r="L16" s="38">
        <f t="shared" si="0"/>
        <v>0</v>
      </c>
      <c r="M16" s="38">
        <f t="shared" si="1"/>
        <v>-409000</v>
      </c>
      <c r="N16" s="38">
        <f t="shared" si="2"/>
        <v>-392000</v>
      </c>
      <c r="O16" s="38">
        <f t="shared" si="3"/>
        <v>-279000</v>
      </c>
    </row>
    <row r="17" spans="1:15" ht="15.75" hidden="1" x14ac:dyDescent="0.25">
      <c r="A17" s="32" t="s">
        <v>20</v>
      </c>
      <c r="B17" s="32" t="s">
        <v>318</v>
      </c>
      <c r="C17" s="33" t="s">
        <v>284</v>
      </c>
      <c r="D17" s="34">
        <v>45839</v>
      </c>
      <c r="E17" s="35">
        <v>19700</v>
      </c>
      <c r="F17" s="36">
        <v>0</v>
      </c>
      <c r="G17" s="36">
        <v>0</v>
      </c>
      <c r="H17" s="36">
        <v>466000</v>
      </c>
      <c r="I17" s="36">
        <v>340000</v>
      </c>
      <c r="J17" s="36">
        <v>287000</v>
      </c>
      <c r="K17" s="38">
        <f t="shared" si="4"/>
        <v>0</v>
      </c>
      <c r="L17" s="38">
        <f t="shared" si="0"/>
        <v>0</v>
      </c>
      <c r="M17" s="38">
        <f t="shared" si="1"/>
        <v>-453000</v>
      </c>
      <c r="N17" s="38">
        <f t="shared" si="2"/>
        <v>-331000</v>
      </c>
      <c r="O17" s="38">
        <f t="shared" si="3"/>
        <v>-279000</v>
      </c>
    </row>
    <row r="18" spans="1:15" ht="15.75" hidden="1" x14ac:dyDescent="0.25">
      <c r="A18" s="32" t="s">
        <v>20</v>
      </c>
      <c r="B18" s="32" t="s">
        <v>333</v>
      </c>
      <c r="C18" s="33" t="s">
        <v>284</v>
      </c>
      <c r="D18" s="34">
        <v>45839</v>
      </c>
      <c r="E18" s="35">
        <v>19700</v>
      </c>
      <c r="F18" s="36">
        <v>0</v>
      </c>
      <c r="G18" s="36">
        <v>0</v>
      </c>
      <c r="H18" s="36">
        <v>421000</v>
      </c>
      <c r="I18" s="36">
        <v>403000</v>
      </c>
      <c r="J18" s="36">
        <v>287000</v>
      </c>
      <c r="K18" s="38">
        <f t="shared" si="4"/>
        <v>0</v>
      </c>
      <c r="L18" s="38">
        <f t="shared" si="0"/>
        <v>0</v>
      </c>
      <c r="M18" s="38">
        <f t="shared" si="1"/>
        <v>-409000</v>
      </c>
      <c r="N18" s="38">
        <f t="shared" si="2"/>
        <v>-392000</v>
      </c>
      <c r="O18" s="38">
        <f t="shared" si="3"/>
        <v>-279000</v>
      </c>
    </row>
    <row r="19" spans="1:15" ht="15.75" hidden="1" x14ac:dyDescent="0.25">
      <c r="A19" s="32" t="s">
        <v>20</v>
      </c>
      <c r="B19" s="32" t="s">
        <v>360</v>
      </c>
      <c r="C19" s="33" t="s">
        <v>284</v>
      </c>
      <c r="D19" s="34">
        <v>45839</v>
      </c>
      <c r="E19" s="35">
        <v>19700</v>
      </c>
      <c r="F19" s="36">
        <v>0</v>
      </c>
      <c r="G19" s="36">
        <v>0</v>
      </c>
      <c r="H19" s="36">
        <v>403000</v>
      </c>
      <c r="I19" s="36">
        <v>382000</v>
      </c>
      <c r="J19" s="36">
        <v>308000</v>
      </c>
      <c r="K19" s="38">
        <f t="shared" si="4"/>
        <v>0</v>
      </c>
      <c r="L19" s="38">
        <f t="shared" si="0"/>
        <v>0</v>
      </c>
      <c r="M19" s="38">
        <f t="shared" si="1"/>
        <v>-392000</v>
      </c>
      <c r="N19" s="38">
        <f t="shared" si="2"/>
        <v>-372000</v>
      </c>
      <c r="O19" s="38">
        <f t="shared" si="3"/>
        <v>-300000</v>
      </c>
    </row>
    <row r="20" spans="1:15" ht="15.75" hidden="1" x14ac:dyDescent="0.25">
      <c r="A20" s="32" t="s">
        <v>20</v>
      </c>
      <c r="B20" s="32" t="s">
        <v>361</v>
      </c>
      <c r="C20" s="33" t="s">
        <v>284</v>
      </c>
      <c r="D20" s="34">
        <v>45839</v>
      </c>
      <c r="E20" s="35">
        <v>19700</v>
      </c>
      <c r="F20" s="36">
        <v>0</v>
      </c>
      <c r="G20" s="36">
        <v>0</v>
      </c>
      <c r="H20" s="36">
        <v>403000</v>
      </c>
      <c r="I20" s="36">
        <v>382000</v>
      </c>
      <c r="J20" s="36">
        <v>308000</v>
      </c>
      <c r="K20" s="38">
        <f t="shared" si="4"/>
        <v>0</v>
      </c>
      <c r="L20" s="38">
        <f t="shared" si="0"/>
        <v>0</v>
      </c>
      <c r="M20" s="38">
        <f t="shared" si="1"/>
        <v>-392000</v>
      </c>
      <c r="N20" s="38">
        <f t="shared" si="2"/>
        <v>-372000</v>
      </c>
      <c r="O20" s="38">
        <f t="shared" si="3"/>
        <v>-300000</v>
      </c>
    </row>
    <row r="21" spans="1:15" ht="15.75" hidden="1" x14ac:dyDescent="0.25">
      <c r="A21" s="32" t="s">
        <v>20</v>
      </c>
      <c r="B21" s="32" t="s">
        <v>362</v>
      </c>
      <c r="C21" s="33" t="s">
        <v>284</v>
      </c>
      <c r="D21" s="34">
        <v>45839</v>
      </c>
      <c r="E21" s="35">
        <v>19700</v>
      </c>
      <c r="F21" s="36">
        <v>0</v>
      </c>
      <c r="G21" s="36">
        <v>0</v>
      </c>
      <c r="H21" s="36">
        <v>403000</v>
      </c>
      <c r="I21" s="36">
        <v>382000</v>
      </c>
      <c r="J21" s="36">
        <v>308000</v>
      </c>
      <c r="K21" s="38">
        <f t="shared" si="4"/>
        <v>0</v>
      </c>
      <c r="L21" s="38">
        <f t="shared" si="0"/>
        <v>0</v>
      </c>
      <c r="M21" s="38">
        <f t="shared" si="1"/>
        <v>-392000</v>
      </c>
      <c r="N21" s="38">
        <f t="shared" si="2"/>
        <v>-372000</v>
      </c>
      <c r="O21" s="38">
        <f t="shared" si="3"/>
        <v>-300000</v>
      </c>
    </row>
    <row r="22" spans="1:15" ht="15.75" hidden="1" x14ac:dyDescent="0.25">
      <c r="A22" s="32" t="s">
        <v>20</v>
      </c>
      <c r="B22" s="32" t="s">
        <v>64</v>
      </c>
      <c r="C22" s="33" t="s">
        <v>284</v>
      </c>
      <c r="D22" s="34">
        <v>45839</v>
      </c>
      <c r="E22" s="35">
        <v>19700</v>
      </c>
      <c r="F22" s="36">
        <v>0</v>
      </c>
      <c r="G22" s="36">
        <v>0</v>
      </c>
      <c r="H22" s="36">
        <v>446000</v>
      </c>
      <c r="I22" s="36">
        <v>382000</v>
      </c>
      <c r="J22" s="36">
        <v>287000</v>
      </c>
      <c r="K22" s="38">
        <f t="shared" si="4"/>
        <v>0</v>
      </c>
      <c r="L22" s="38">
        <f t="shared" si="0"/>
        <v>0</v>
      </c>
      <c r="M22" s="38">
        <f t="shared" si="1"/>
        <v>-434000</v>
      </c>
      <c r="N22" s="38">
        <f t="shared" si="2"/>
        <v>-372000</v>
      </c>
      <c r="O22" s="38">
        <f t="shared" si="3"/>
        <v>-279000</v>
      </c>
    </row>
    <row r="23" spans="1:15" ht="15.75" hidden="1" x14ac:dyDescent="0.25">
      <c r="A23" s="32" t="s">
        <v>20</v>
      </c>
      <c r="B23" s="32" t="s">
        <v>334</v>
      </c>
      <c r="C23" s="33" t="s">
        <v>284</v>
      </c>
      <c r="D23" s="34">
        <v>45839</v>
      </c>
      <c r="E23" s="35">
        <v>19700</v>
      </c>
      <c r="F23" s="36">
        <v>0</v>
      </c>
      <c r="G23" s="36">
        <v>0</v>
      </c>
      <c r="H23" s="36">
        <v>446000</v>
      </c>
      <c r="I23" s="36">
        <v>382000</v>
      </c>
      <c r="J23" s="36">
        <v>287000</v>
      </c>
      <c r="K23" s="38">
        <f t="shared" si="4"/>
        <v>0</v>
      </c>
      <c r="L23" s="38">
        <f t="shared" si="0"/>
        <v>0</v>
      </c>
      <c r="M23" s="38">
        <f t="shared" si="1"/>
        <v>-434000</v>
      </c>
      <c r="N23" s="38">
        <f t="shared" si="2"/>
        <v>-372000</v>
      </c>
      <c r="O23" s="38">
        <f t="shared" si="3"/>
        <v>-279000</v>
      </c>
    </row>
    <row r="24" spans="1:15" ht="15.75" hidden="1" x14ac:dyDescent="0.25">
      <c r="A24" s="32" t="s">
        <v>20</v>
      </c>
      <c r="B24" s="32" t="s">
        <v>335</v>
      </c>
      <c r="C24" s="33" t="s">
        <v>284</v>
      </c>
      <c r="D24" s="34">
        <v>45839</v>
      </c>
      <c r="E24" s="35">
        <v>19700</v>
      </c>
      <c r="F24" s="36">
        <v>0</v>
      </c>
      <c r="G24" s="36">
        <v>0</v>
      </c>
      <c r="H24" s="36">
        <v>446000</v>
      </c>
      <c r="I24" s="36">
        <v>382000</v>
      </c>
      <c r="J24" s="36">
        <v>287000</v>
      </c>
      <c r="K24" s="38">
        <f t="shared" si="4"/>
        <v>0</v>
      </c>
      <c r="L24" s="38">
        <f t="shared" si="0"/>
        <v>0</v>
      </c>
      <c r="M24" s="38">
        <f t="shared" si="1"/>
        <v>-434000</v>
      </c>
      <c r="N24" s="38">
        <f t="shared" si="2"/>
        <v>-372000</v>
      </c>
      <c r="O24" s="38">
        <f t="shared" si="3"/>
        <v>-279000</v>
      </c>
    </row>
    <row r="25" spans="1:15" ht="15.75" hidden="1" x14ac:dyDescent="0.25">
      <c r="A25" s="32" t="s">
        <v>20</v>
      </c>
      <c r="B25" s="32" t="s">
        <v>363</v>
      </c>
      <c r="C25" s="33" t="s">
        <v>284</v>
      </c>
      <c r="D25" s="34">
        <v>45839</v>
      </c>
      <c r="E25" s="35">
        <v>19700</v>
      </c>
      <c r="F25" s="36">
        <v>0</v>
      </c>
      <c r="G25" s="36">
        <v>0</v>
      </c>
      <c r="H25" s="36">
        <v>403000</v>
      </c>
      <c r="I25" s="36">
        <v>382000</v>
      </c>
      <c r="J25" s="36">
        <v>308000</v>
      </c>
      <c r="K25" s="38">
        <f t="shared" si="4"/>
        <v>0</v>
      </c>
      <c r="L25" s="38">
        <f t="shared" si="0"/>
        <v>0</v>
      </c>
      <c r="M25" s="38">
        <f t="shared" si="1"/>
        <v>-392000</v>
      </c>
      <c r="N25" s="38">
        <f t="shared" si="2"/>
        <v>-372000</v>
      </c>
      <c r="O25" s="38">
        <f t="shared" si="3"/>
        <v>-300000</v>
      </c>
    </row>
    <row r="26" spans="1:15" ht="15.75" hidden="1" x14ac:dyDescent="0.25">
      <c r="A26" s="32" t="s">
        <v>15</v>
      </c>
      <c r="B26" s="32" t="s">
        <v>284</v>
      </c>
      <c r="C26" s="33" t="s">
        <v>284</v>
      </c>
      <c r="D26" s="34">
        <v>45839</v>
      </c>
      <c r="E26" s="35">
        <v>19700</v>
      </c>
      <c r="F26" s="36">
        <v>0</v>
      </c>
      <c r="G26" s="36">
        <v>0</v>
      </c>
      <c r="H26" s="36">
        <v>1252000</v>
      </c>
      <c r="I26" s="36">
        <v>1167000</v>
      </c>
      <c r="J26" s="36">
        <v>1062000</v>
      </c>
      <c r="K26" s="38">
        <f t="shared" si="4"/>
        <v>0</v>
      </c>
      <c r="L26" s="38">
        <f t="shared" si="0"/>
        <v>0</v>
      </c>
      <c r="M26" s="38">
        <f t="shared" si="1"/>
        <v>-1218000</v>
      </c>
      <c r="N26" s="38">
        <f t="shared" si="2"/>
        <v>-1135000</v>
      </c>
      <c r="O26" s="38">
        <f t="shared" si="3"/>
        <v>-1033000</v>
      </c>
    </row>
    <row r="27" spans="1:15" ht="15.75" hidden="1" x14ac:dyDescent="0.25">
      <c r="A27" s="32" t="s">
        <v>15</v>
      </c>
      <c r="B27" s="32" t="s">
        <v>403</v>
      </c>
      <c r="C27" s="33" t="s">
        <v>284</v>
      </c>
      <c r="D27" s="34">
        <v>45839</v>
      </c>
      <c r="E27" s="35">
        <v>19700</v>
      </c>
      <c r="F27" s="36">
        <v>0</v>
      </c>
      <c r="G27" s="36">
        <v>0</v>
      </c>
      <c r="H27" s="36">
        <v>1273000</v>
      </c>
      <c r="I27" s="36">
        <v>1221000</v>
      </c>
      <c r="J27" s="36">
        <v>1167000</v>
      </c>
      <c r="K27" s="38">
        <f t="shared" si="4"/>
        <v>0</v>
      </c>
      <c r="L27" s="38">
        <f t="shared" si="0"/>
        <v>0</v>
      </c>
      <c r="M27" s="38">
        <f t="shared" si="1"/>
        <v>-1238000</v>
      </c>
      <c r="N27" s="38">
        <f t="shared" si="2"/>
        <v>-1188000</v>
      </c>
      <c r="O27" s="38">
        <f t="shared" si="3"/>
        <v>-1135000</v>
      </c>
    </row>
    <row r="28" spans="1:15" ht="15.75" hidden="1" x14ac:dyDescent="0.25">
      <c r="A28" s="32" t="s">
        <v>15</v>
      </c>
      <c r="B28" s="32" t="s">
        <v>404</v>
      </c>
      <c r="C28" s="33" t="s">
        <v>284</v>
      </c>
      <c r="D28" s="34">
        <v>45839</v>
      </c>
      <c r="E28" s="35">
        <v>19700</v>
      </c>
      <c r="F28" s="36">
        <v>0</v>
      </c>
      <c r="G28" s="36">
        <v>0</v>
      </c>
      <c r="H28" s="36">
        <v>1273000</v>
      </c>
      <c r="I28" s="36">
        <v>1221000</v>
      </c>
      <c r="J28" s="36">
        <v>1167000</v>
      </c>
      <c r="K28" s="38">
        <f t="shared" si="4"/>
        <v>0</v>
      </c>
      <c r="L28" s="38">
        <f t="shared" si="0"/>
        <v>0</v>
      </c>
      <c r="M28" s="38">
        <f t="shared" si="1"/>
        <v>-1238000</v>
      </c>
      <c r="N28" s="38">
        <f t="shared" si="2"/>
        <v>-1188000</v>
      </c>
      <c r="O28" s="38">
        <f t="shared" si="3"/>
        <v>-1135000</v>
      </c>
    </row>
    <row r="29" spans="1:15" ht="15.75" hidden="1" x14ac:dyDescent="0.25">
      <c r="A29" s="32" t="s">
        <v>15</v>
      </c>
      <c r="B29" s="32" t="s">
        <v>405</v>
      </c>
      <c r="C29" s="33" t="s">
        <v>284</v>
      </c>
      <c r="D29" s="34">
        <v>45839</v>
      </c>
      <c r="E29" s="35">
        <v>19700</v>
      </c>
      <c r="F29" s="36">
        <v>0</v>
      </c>
      <c r="G29" s="36">
        <v>0</v>
      </c>
      <c r="H29" s="36">
        <v>1273000</v>
      </c>
      <c r="I29" s="36">
        <v>1221000</v>
      </c>
      <c r="J29" s="36">
        <v>1167000</v>
      </c>
      <c r="K29" s="38">
        <f t="shared" si="4"/>
        <v>0</v>
      </c>
      <c r="L29" s="38">
        <f t="shared" si="0"/>
        <v>0</v>
      </c>
      <c r="M29" s="38">
        <f t="shared" si="1"/>
        <v>-1238000</v>
      </c>
      <c r="N29" s="38">
        <f t="shared" si="2"/>
        <v>-1188000</v>
      </c>
      <c r="O29" s="38">
        <f t="shared" si="3"/>
        <v>-1135000</v>
      </c>
    </row>
    <row r="30" spans="1:15" ht="15.75" hidden="1" x14ac:dyDescent="0.25">
      <c r="A30" s="32" t="s">
        <v>15</v>
      </c>
      <c r="B30" s="32" t="s">
        <v>406</v>
      </c>
      <c r="C30" s="33" t="s">
        <v>284</v>
      </c>
      <c r="D30" s="34">
        <v>45839</v>
      </c>
      <c r="E30" s="35">
        <v>19700</v>
      </c>
      <c r="F30" s="36">
        <v>0</v>
      </c>
      <c r="G30" s="36">
        <v>0</v>
      </c>
      <c r="H30" s="36">
        <v>1273000</v>
      </c>
      <c r="I30" s="36">
        <v>1221000</v>
      </c>
      <c r="J30" s="36">
        <v>1167000</v>
      </c>
      <c r="K30" s="38">
        <f t="shared" si="4"/>
        <v>0</v>
      </c>
      <c r="L30" s="38">
        <f t="shared" si="0"/>
        <v>0</v>
      </c>
      <c r="M30" s="38">
        <f t="shared" si="1"/>
        <v>-1238000</v>
      </c>
      <c r="N30" s="38">
        <f t="shared" si="2"/>
        <v>-1188000</v>
      </c>
      <c r="O30" s="38">
        <f t="shared" si="3"/>
        <v>-1135000</v>
      </c>
    </row>
    <row r="31" spans="1:15" ht="15.75" hidden="1" x14ac:dyDescent="0.25">
      <c r="A31" s="32" t="s">
        <v>65</v>
      </c>
      <c r="B31" s="32" t="s">
        <v>284</v>
      </c>
      <c r="C31" s="33" t="s">
        <v>284</v>
      </c>
      <c r="D31" s="34">
        <v>45839</v>
      </c>
      <c r="E31" s="35">
        <v>19700</v>
      </c>
      <c r="F31" s="36">
        <v>0</v>
      </c>
      <c r="G31" s="36">
        <v>0</v>
      </c>
      <c r="H31" s="36">
        <v>691000</v>
      </c>
      <c r="I31" s="36">
        <v>574000</v>
      </c>
      <c r="J31" s="36">
        <v>509000</v>
      </c>
      <c r="K31" s="38">
        <f t="shared" si="4"/>
        <v>0</v>
      </c>
      <c r="L31" s="38">
        <f t="shared" si="0"/>
        <v>0</v>
      </c>
      <c r="M31" s="38">
        <f t="shared" si="1"/>
        <v>-672000</v>
      </c>
      <c r="N31" s="38">
        <f t="shared" si="2"/>
        <v>-558000</v>
      </c>
      <c r="O31" s="38">
        <f t="shared" si="3"/>
        <v>-495000</v>
      </c>
    </row>
    <row r="32" spans="1:15" ht="15.75" hidden="1" x14ac:dyDescent="0.25">
      <c r="A32" s="32" t="s">
        <v>65</v>
      </c>
      <c r="B32" s="32" t="s">
        <v>400</v>
      </c>
      <c r="C32" s="33" t="s">
        <v>284</v>
      </c>
      <c r="D32" s="34">
        <v>45839</v>
      </c>
      <c r="E32" s="35">
        <v>19700</v>
      </c>
      <c r="F32" s="36">
        <v>0</v>
      </c>
      <c r="G32" s="36">
        <v>0</v>
      </c>
      <c r="H32" s="36">
        <v>849000</v>
      </c>
      <c r="I32" s="36">
        <v>838000</v>
      </c>
      <c r="J32" s="36">
        <v>764000</v>
      </c>
      <c r="K32" s="38">
        <f t="shared" si="4"/>
        <v>0</v>
      </c>
      <c r="L32" s="38">
        <f t="shared" si="0"/>
        <v>0</v>
      </c>
      <c r="M32" s="38">
        <f t="shared" si="1"/>
        <v>-826000</v>
      </c>
      <c r="N32" s="38">
        <f t="shared" si="2"/>
        <v>-815000</v>
      </c>
      <c r="O32" s="38">
        <f t="shared" si="3"/>
        <v>-743000</v>
      </c>
    </row>
    <row r="33" spans="1:15" ht="15.75" hidden="1" x14ac:dyDescent="0.25">
      <c r="A33" s="32" t="s">
        <v>65</v>
      </c>
      <c r="B33" s="32" t="s">
        <v>66</v>
      </c>
      <c r="C33" s="33" t="s">
        <v>284</v>
      </c>
      <c r="D33" s="34">
        <v>45839</v>
      </c>
      <c r="E33" s="35">
        <v>19700</v>
      </c>
      <c r="F33" s="36">
        <v>0</v>
      </c>
      <c r="G33" s="36">
        <v>0</v>
      </c>
      <c r="H33" s="36">
        <v>743000</v>
      </c>
      <c r="I33" s="36">
        <v>616000</v>
      </c>
      <c r="J33" s="36">
        <v>521000</v>
      </c>
      <c r="K33" s="38">
        <f t="shared" si="4"/>
        <v>0</v>
      </c>
      <c r="L33" s="38">
        <f t="shared" si="0"/>
        <v>0</v>
      </c>
      <c r="M33" s="38">
        <f t="shared" si="1"/>
        <v>-723000</v>
      </c>
      <c r="N33" s="38">
        <f t="shared" si="2"/>
        <v>-599000</v>
      </c>
      <c r="O33" s="38">
        <f t="shared" si="3"/>
        <v>-507000</v>
      </c>
    </row>
    <row r="34" spans="1:15" ht="15.75" hidden="1" x14ac:dyDescent="0.25">
      <c r="A34" s="32" t="s">
        <v>65</v>
      </c>
      <c r="B34" s="32" t="s">
        <v>401</v>
      </c>
      <c r="C34" s="33" t="s">
        <v>284</v>
      </c>
      <c r="D34" s="34">
        <v>45839</v>
      </c>
      <c r="E34" s="35">
        <v>19700</v>
      </c>
      <c r="F34" s="36">
        <v>0</v>
      </c>
      <c r="G34" s="36">
        <v>0</v>
      </c>
      <c r="H34" s="36">
        <v>849000</v>
      </c>
      <c r="I34" s="36">
        <v>838000</v>
      </c>
      <c r="J34" s="36">
        <v>764000</v>
      </c>
      <c r="K34" s="38">
        <f t="shared" si="4"/>
        <v>0</v>
      </c>
      <c r="L34" s="38">
        <f t="shared" si="0"/>
        <v>0</v>
      </c>
      <c r="M34" s="38">
        <f t="shared" si="1"/>
        <v>-826000</v>
      </c>
      <c r="N34" s="38">
        <f t="shared" si="2"/>
        <v>-815000</v>
      </c>
      <c r="O34" s="38">
        <f t="shared" si="3"/>
        <v>-743000</v>
      </c>
    </row>
    <row r="35" spans="1:15" ht="15.75" hidden="1" x14ac:dyDescent="0.25">
      <c r="A35" s="32" t="s">
        <v>65</v>
      </c>
      <c r="B35" s="32" t="s">
        <v>402</v>
      </c>
      <c r="C35" s="33" t="s">
        <v>284</v>
      </c>
      <c r="D35" s="34">
        <v>45839</v>
      </c>
      <c r="E35" s="35">
        <v>19700</v>
      </c>
      <c r="F35" s="36">
        <v>0</v>
      </c>
      <c r="G35" s="36">
        <v>0</v>
      </c>
      <c r="H35" s="36">
        <v>849000</v>
      </c>
      <c r="I35" s="36">
        <v>838000</v>
      </c>
      <c r="J35" s="36">
        <v>764000</v>
      </c>
      <c r="K35" s="38">
        <f t="shared" si="4"/>
        <v>0</v>
      </c>
      <c r="L35" s="38">
        <f t="shared" si="0"/>
        <v>0</v>
      </c>
      <c r="M35" s="38">
        <f t="shared" si="1"/>
        <v>-826000</v>
      </c>
      <c r="N35" s="38">
        <f t="shared" si="2"/>
        <v>-815000</v>
      </c>
      <c r="O35" s="38">
        <f t="shared" si="3"/>
        <v>-743000</v>
      </c>
    </row>
    <row r="36" spans="1:15" ht="15.75" hidden="1" x14ac:dyDescent="0.25">
      <c r="A36" s="32" t="s">
        <v>69</v>
      </c>
      <c r="B36" s="32" t="s">
        <v>423</v>
      </c>
      <c r="C36" s="33" t="s">
        <v>284</v>
      </c>
      <c r="D36" s="34">
        <v>45839</v>
      </c>
      <c r="E36" s="35">
        <v>19700</v>
      </c>
      <c r="F36" s="36">
        <v>1167000</v>
      </c>
      <c r="G36" s="36">
        <v>0</v>
      </c>
      <c r="H36" s="36">
        <v>298000</v>
      </c>
      <c r="I36" s="36">
        <v>254000</v>
      </c>
      <c r="J36" s="36">
        <v>245000</v>
      </c>
      <c r="K36" s="38">
        <f t="shared" si="4"/>
        <v>-1135000</v>
      </c>
      <c r="L36" s="38">
        <f t="shared" si="0"/>
        <v>0</v>
      </c>
      <c r="M36" s="38">
        <f t="shared" si="1"/>
        <v>-290000</v>
      </c>
      <c r="N36" s="38">
        <f t="shared" si="2"/>
        <v>-247000</v>
      </c>
      <c r="O36" s="38">
        <f t="shared" si="3"/>
        <v>-238000</v>
      </c>
    </row>
    <row r="37" spans="1:15" ht="15.75" hidden="1" x14ac:dyDescent="0.25">
      <c r="A37" s="32" t="s">
        <v>69</v>
      </c>
      <c r="B37" s="32" t="s">
        <v>344</v>
      </c>
      <c r="C37" s="33" t="s">
        <v>284</v>
      </c>
      <c r="D37" s="34">
        <v>45839</v>
      </c>
      <c r="E37" s="35">
        <v>19700</v>
      </c>
      <c r="F37" s="36">
        <v>0</v>
      </c>
      <c r="G37" s="36">
        <v>0</v>
      </c>
      <c r="H37" s="36">
        <v>361000</v>
      </c>
      <c r="I37" s="36">
        <v>298000</v>
      </c>
      <c r="J37" s="36">
        <v>287000</v>
      </c>
      <c r="K37" s="38">
        <f t="shared" si="4"/>
        <v>0</v>
      </c>
      <c r="L37" s="38">
        <f t="shared" si="0"/>
        <v>0</v>
      </c>
      <c r="M37" s="38">
        <f t="shared" si="1"/>
        <v>-351000</v>
      </c>
      <c r="N37" s="38">
        <f t="shared" si="2"/>
        <v>-290000</v>
      </c>
      <c r="O37" s="38">
        <f t="shared" si="3"/>
        <v>-279000</v>
      </c>
    </row>
    <row r="38" spans="1:15" ht="15.75" hidden="1" x14ac:dyDescent="0.25">
      <c r="A38" s="32" t="s">
        <v>69</v>
      </c>
      <c r="B38" s="37" t="s">
        <v>70</v>
      </c>
      <c r="C38" s="33" t="s">
        <v>284</v>
      </c>
      <c r="D38" s="34">
        <v>45839</v>
      </c>
      <c r="E38" s="35">
        <v>19700</v>
      </c>
      <c r="F38" s="36">
        <v>1167000</v>
      </c>
      <c r="G38" s="36">
        <v>0</v>
      </c>
      <c r="H38" s="36">
        <v>298000</v>
      </c>
      <c r="I38" s="36">
        <v>254000</v>
      </c>
      <c r="J38" s="36">
        <v>245000</v>
      </c>
      <c r="K38" s="38">
        <f t="shared" si="4"/>
        <v>-1135000</v>
      </c>
      <c r="L38" s="38">
        <f t="shared" si="0"/>
        <v>0</v>
      </c>
      <c r="M38" s="38">
        <f t="shared" si="1"/>
        <v>-290000</v>
      </c>
      <c r="N38" s="38">
        <f t="shared" si="2"/>
        <v>-247000</v>
      </c>
      <c r="O38" s="38">
        <f t="shared" si="3"/>
        <v>-238000</v>
      </c>
    </row>
    <row r="39" spans="1:15" ht="15.75" hidden="1" x14ac:dyDescent="0.25">
      <c r="A39" s="32" t="s">
        <v>69</v>
      </c>
      <c r="B39" s="32" t="s">
        <v>424</v>
      </c>
      <c r="C39" s="33" t="s">
        <v>284</v>
      </c>
      <c r="D39" s="34">
        <v>45839</v>
      </c>
      <c r="E39" s="35">
        <v>19700</v>
      </c>
      <c r="F39" s="36">
        <v>1167000</v>
      </c>
      <c r="G39" s="36">
        <v>0</v>
      </c>
      <c r="H39" s="36">
        <v>298000</v>
      </c>
      <c r="I39" s="36">
        <v>254000</v>
      </c>
      <c r="J39" s="36">
        <v>245000</v>
      </c>
      <c r="K39" s="38">
        <f t="shared" si="4"/>
        <v>-1135000</v>
      </c>
      <c r="L39" s="38">
        <f t="shared" si="0"/>
        <v>0</v>
      </c>
      <c r="M39" s="38">
        <f t="shared" si="1"/>
        <v>-290000</v>
      </c>
      <c r="N39" s="38">
        <f t="shared" si="2"/>
        <v>-247000</v>
      </c>
      <c r="O39" s="38">
        <f t="shared" si="3"/>
        <v>-238000</v>
      </c>
    </row>
    <row r="40" spans="1:15" ht="15.75" hidden="1" x14ac:dyDescent="0.25">
      <c r="A40" s="32" t="s">
        <v>69</v>
      </c>
      <c r="B40" s="32" t="s">
        <v>346</v>
      </c>
      <c r="C40" s="33" t="s">
        <v>284</v>
      </c>
      <c r="D40" s="34">
        <v>45839</v>
      </c>
      <c r="E40" s="35">
        <v>19700</v>
      </c>
      <c r="F40" s="36">
        <v>0</v>
      </c>
      <c r="G40" s="36">
        <v>0</v>
      </c>
      <c r="H40" s="36">
        <v>361000</v>
      </c>
      <c r="I40" s="36">
        <v>298000</v>
      </c>
      <c r="J40" s="36">
        <v>287000</v>
      </c>
      <c r="K40" s="38">
        <f t="shared" si="4"/>
        <v>0</v>
      </c>
      <c r="L40" s="38">
        <f t="shared" si="0"/>
        <v>0</v>
      </c>
      <c r="M40" s="38">
        <f t="shared" si="1"/>
        <v>-351000</v>
      </c>
      <c r="N40" s="38">
        <f t="shared" si="2"/>
        <v>-290000</v>
      </c>
      <c r="O40" s="38">
        <f t="shared" si="3"/>
        <v>-279000</v>
      </c>
    </row>
    <row r="41" spans="1:15" ht="15.75" hidden="1" x14ac:dyDescent="0.25">
      <c r="A41" s="32" t="s">
        <v>69</v>
      </c>
      <c r="B41" s="32" t="s">
        <v>324</v>
      </c>
      <c r="C41" s="33" t="s">
        <v>284</v>
      </c>
      <c r="D41" s="34">
        <v>45839</v>
      </c>
      <c r="E41" s="35">
        <v>19700</v>
      </c>
      <c r="F41" s="36">
        <v>0</v>
      </c>
      <c r="G41" s="36">
        <v>0</v>
      </c>
      <c r="H41" s="36">
        <v>446000</v>
      </c>
      <c r="I41" s="36">
        <v>340000</v>
      </c>
      <c r="J41" s="36">
        <v>266000</v>
      </c>
      <c r="K41" s="38">
        <f t="shared" si="4"/>
        <v>0</v>
      </c>
      <c r="L41" s="38">
        <f t="shared" si="0"/>
        <v>0</v>
      </c>
      <c r="M41" s="38">
        <f t="shared" si="1"/>
        <v>-434000</v>
      </c>
      <c r="N41" s="38">
        <f t="shared" si="2"/>
        <v>-331000</v>
      </c>
      <c r="O41" s="38">
        <f t="shared" si="3"/>
        <v>-259000</v>
      </c>
    </row>
    <row r="42" spans="1:15" ht="15.75" hidden="1" x14ac:dyDescent="0.25">
      <c r="A42" s="32" t="s">
        <v>69</v>
      </c>
      <c r="B42" s="32" t="s">
        <v>347</v>
      </c>
      <c r="C42" s="33" t="s">
        <v>284</v>
      </c>
      <c r="D42" s="34">
        <v>45839</v>
      </c>
      <c r="E42" s="35">
        <v>19700</v>
      </c>
      <c r="F42" s="36">
        <v>0</v>
      </c>
      <c r="G42" s="36">
        <v>0</v>
      </c>
      <c r="H42" s="36">
        <v>361000</v>
      </c>
      <c r="I42" s="36">
        <v>298000</v>
      </c>
      <c r="J42" s="36">
        <v>287000</v>
      </c>
      <c r="K42" s="38">
        <f t="shared" si="4"/>
        <v>0</v>
      </c>
      <c r="L42" s="38">
        <f t="shared" si="0"/>
        <v>0</v>
      </c>
      <c r="M42" s="38">
        <f t="shared" si="1"/>
        <v>-351000</v>
      </c>
      <c r="N42" s="38">
        <f t="shared" si="2"/>
        <v>-290000</v>
      </c>
      <c r="O42" s="38">
        <f t="shared" si="3"/>
        <v>-279000</v>
      </c>
    </row>
    <row r="43" spans="1:15" ht="15.75" hidden="1" x14ac:dyDescent="0.25">
      <c r="A43" s="32" t="s">
        <v>69</v>
      </c>
      <c r="B43" s="32" t="s">
        <v>10</v>
      </c>
      <c r="C43" s="33" t="s">
        <v>284</v>
      </c>
      <c r="D43" s="34">
        <v>45839</v>
      </c>
      <c r="E43" s="35">
        <v>19700</v>
      </c>
      <c r="F43" s="36">
        <v>0</v>
      </c>
      <c r="G43" s="36">
        <v>0</v>
      </c>
      <c r="H43" s="36">
        <v>446000</v>
      </c>
      <c r="I43" s="36">
        <v>340000</v>
      </c>
      <c r="J43" s="36">
        <v>266000</v>
      </c>
      <c r="K43" s="38">
        <f t="shared" si="4"/>
        <v>0</v>
      </c>
      <c r="L43" s="38">
        <f t="shared" si="0"/>
        <v>0</v>
      </c>
      <c r="M43" s="38">
        <f t="shared" si="1"/>
        <v>-434000</v>
      </c>
      <c r="N43" s="38">
        <f t="shared" si="2"/>
        <v>-331000</v>
      </c>
      <c r="O43" s="38">
        <f t="shared" si="3"/>
        <v>-259000</v>
      </c>
    </row>
    <row r="44" spans="1:15" ht="15.75" hidden="1" x14ac:dyDescent="0.25">
      <c r="A44" s="32" t="s">
        <v>69</v>
      </c>
      <c r="B44" s="37" t="s">
        <v>71</v>
      </c>
      <c r="C44" s="33" t="s">
        <v>284</v>
      </c>
      <c r="D44" s="34">
        <v>45839</v>
      </c>
      <c r="E44" s="35">
        <v>19700</v>
      </c>
      <c r="F44" s="36">
        <v>0</v>
      </c>
      <c r="G44" s="36">
        <v>0</v>
      </c>
      <c r="H44" s="36">
        <v>361000</v>
      </c>
      <c r="I44" s="36">
        <v>298000</v>
      </c>
      <c r="J44" s="36">
        <v>287000</v>
      </c>
      <c r="K44" s="38">
        <f t="shared" si="4"/>
        <v>0</v>
      </c>
      <c r="L44" s="38">
        <f t="shared" si="0"/>
        <v>0</v>
      </c>
      <c r="M44" s="38">
        <f t="shared" si="1"/>
        <v>-351000</v>
      </c>
      <c r="N44" s="38">
        <f t="shared" si="2"/>
        <v>-290000</v>
      </c>
      <c r="O44" s="38">
        <f t="shared" si="3"/>
        <v>-279000</v>
      </c>
    </row>
    <row r="45" spans="1:15" ht="15.75" hidden="1" x14ac:dyDescent="0.25">
      <c r="A45" s="32" t="s">
        <v>69</v>
      </c>
      <c r="B45" s="32" t="s">
        <v>72</v>
      </c>
      <c r="C45" s="33" t="s">
        <v>284</v>
      </c>
      <c r="D45" s="34">
        <v>45839</v>
      </c>
      <c r="E45" s="35">
        <v>19700</v>
      </c>
      <c r="F45" s="36">
        <v>0</v>
      </c>
      <c r="G45" s="36">
        <v>0</v>
      </c>
      <c r="H45" s="36">
        <v>424000</v>
      </c>
      <c r="I45" s="36">
        <v>403000</v>
      </c>
      <c r="J45" s="36">
        <v>393000</v>
      </c>
      <c r="K45" s="38">
        <f t="shared" si="4"/>
        <v>0</v>
      </c>
      <c r="L45" s="38">
        <f t="shared" si="0"/>
        <v>0</v>
      </c>
      <c r="M45" s="38">
        <f t="shared" si="1"/>
        <v>-412000</v>
      </c>
      <c r="N45" s="38">
        <f t="shared" si="2"/>
        <v>-392000</v>
      </c>
      <c r="O45" s="38">
        <f t="shared" si="3"/>
        <v>-382000</v>
      </c>
    </row>
    <row r="46" spans="1:15" ht="15.75" hidden="1" x14ac:dyDescent="0.25">
      <c r="A46" s="32" t="s">
        <v>69</v>
      </c>
      <c r="B46" s="32" t="s">
        <v>325</v>
      </c>
      <c r="C46" s="33" t="s">
        <v>284</v>
      </c>
      <c r="D46" s="34">
        <v>45839</v>
      </c>
      <c r="E46" s="35">
        <v>19700</v>
      </c>
      <c r="F46" s="36">
        <v>0</v>
      </c>
      <c r="G46" s="36">
        <v>0</v>
      </c>
      <c r="H46" s="36">
        <v>446000</v>
      </c>
      <c r="I46" s="36">
        <v>340000</v>
      </c>
      <c r="J46" s="36">
        <v>266000</v>
      </c>
      <c r="K46" s="38">
        <f t="shared" si="4"/>
        <v>0</v>
      </c>
      <c r="L46" s="38">
        <f t="shared" si="0"/>
        <v>0</v>
      </c>
      <c r="M46" s="38">
        <f t="shared" si="1"/>
        <v>-434000</v>
      </c>
      <c r="N46" s="38">
        <f t="shared" si="2"/>
        <v>-331000</v>
      </c>
      <c r="O46" s="38">
        <f t="shared" si="3"/>
        <v>-259000</v>
      </c>
    </row>
    <row r="47" spans="1:15" ht="15.75" hidden="1" x14ac:dyDescent="0.25">
      <c r="A47" s="32" t="s">
        <v>69</v>
      </c>
      <c r="B47" s="32" t="s">
        <v>348</v>
      </c>
      <c r="C47" s="33" t="s">
        <v>284</v>
      </c>
      <c r="D47" s="34">
        <v>45839</v>
      </c>
      <c r="E47" s="35">
        <v>19700</v>
      </c>
      <c r="F47" s="36">
        <v>0</v>
      </c>
      <c r="G47" s="36">
        <v>0</v>
      </c>
      <c r="H47" s="36">
        <v>361000</v>
      </c>
      <c r="I47" s="36">
        <v>298000</v>
      </c>
      <c r="J47" s="36">
        <v>287000</v>
      </c>
      <c r="K47" s="38">
        <f t="shared" si="4"/>
        <v>0</v>
      </c>
      <c r="L47" s="38">
        <f t="shared" si="0"/>
        <v>0</v>
      </c>
      <c r="M47" s="38">
        <f t="shared" si="1"/>
        <v>-351000</v>
      </c>
      <c r="N47" s="38">
        <f t="shared" si="2"/>
        <v>-290000</v>
      </c>
      <c r="O47" s="38">
        <f t="shared" si="3"/>
        <v>-279000</v>
      </c>
    </row>
    <row r="48" spans="1:15" ht="15.75" hidden="1" x14ac:dyDescent="0.25">
      <c r="A48" s="32" t="s">
        <v>69</v>
      </c>
      <c r="B48" s="32" t="s">
        <v>349</v>
      </c>
      <c r="C48" s="33" t="s">
        <v>284</v>
      </c>
      <c r="D48" s="34">
        <v>45839</v>
      </c>
      <c r="E48" s="35">
        <v>19700</v>
      </c>
      <c r="F48" s="36">
        <v>0</v>
      </c>
      <c r="G48" s="36">
        <v>0</v>
      </c>
      <c r="H48" s="36">
        <v>361000</v>
      </c>
      <c r="I48" s="36">
        <v>298000</v>
      </c>
      <c r="J48" s="36">
        <v>287000</v>
      </c>
      <c r="K48" s="38">
        <f t="shared" si="4"/>
        <v>0</v>
      </c>
      <c r="L48" s="38">
        <f t="shared" si="0"/>
        <v>0</v>
      </c>
      <c r="M48" s="38">
        <f t="shared" si="1"/>
        <v>-351000</v>
      </c>
      <c r="N48" s="38">
        <f t="shared" si="2"/>
        <v>-290000</v>
      </c>
      <c r="O48" s="38">
        <f t="shared" si="3"/>
        <v>-279000</v>
      </c>
    </row>
    <row r="49" spans="1:15" ht="15.75" hidden="1" x14ac:dyDescent="0.25">
      <c r="A49" s="32" t="s">
        <v>69</v>
      </c>
      <c r="B49" s="32" t="s">
        <v>350</v>
      </c>
      <c r="C49" s="33" t="s">
        <v>284</v>
      </c>
      <c r="D49" s="34">
        <v>45839</v>
      </c>
      <c r="E49" s="35">
        <v>19700</v>
      </c>
      <c r="F49" s="36">
        <v>0</v>
      </c>
      <c r="G49" s="36">
        <v>0</v>
      </c>
      <c r="H49" s="36">
        <v>361000</v>
      </c>
      <c r="I49" s="36">
        <v>298000</v>
      </c>
      <c r="J49" s="36">
        <v>287000</v>
      </c>
      <c r="K49" s="38">
        <f t="shared" si="4"/>
        <v>0</v>
      </c>
      <c r="L49" s="38">
        <f t="shared" si="0"/>
        <v>0</v>
      </c>
      <c r="M49" s="38">
        <f t="shared" si="1"/>
        <v>-351000</v>
      </c>
      <c r="N49" s="38">
        <f t="shared" si="2"/>
        <v>-290000</v>
      </c>
      <c r="O49" s="38">
        <f t="shared" si="3"/>
        <v>-279000</v>
      </c>
    </row>
    <row r="50" spans="1:15" ht="15.75" hidden="1" x14ac:dyDescent="0.25">
      <c r="A50" s="32" t="s">
        <v>69</v>
      </c>
      <c r="B50" s="32" t="s">
        <v>345</v>
      </c>
      <c r="C50" s="33" t="s">
        <v>284</v>
      </c>
      <c r="D50" s="34">
        <v>45839</v>
      </c>
      <c r="E50" s="35">
        <v>19700</v>
      </c>
      <c r="F50" s="36">
        <v>0</v>
      </c>
      <c r="G50" s="36">
        <v>0</v>
      </c>
      <c r="H50" s="36">
        <v>424000</v>
      </c>
      <c r="I50" s="36">
        <v>403000</v>
      </c>
      <c r="J50" s="36">
        <v>393000</v>
      </c>
      <c r="K50" s="38">
        <f t="shared" si="4"/>
        <v>0</v>
      </c>
      <c r="L50" s="38">
        <f t="shared" si="0"/>
        <v>0</v>
      </c>
      <c r="M50" s="38">
        <f t="shared" si="1"/>
        <v>-412000</v>
      </c>
      <c r="N50" s="38">
        <f t="shared" si="2"/>
        <v>-392000</v>
      </c>
      <c r="O50" s="38">
        <f t="shared" si="3"/>
        <v>-382000</v>
      </c>
    </row>
    <row r="51" spans="1:15" ht="15.75" hidden="1" x14ac:dyDescent="0.25">
      <c r="A51" s="32" t="s">
        <v>69</v>
      </c>
      <c r="B51" s="32" t="s">
        <v>326</v>
      </c>
      <c r="C51" s="33" t="s">
        <v>284</v>
      </c>
      <c r="D51" s="34">
        <v>45839</v>
      </c>
      <c r="E51" s="35">
        <v>19700</v>
      </c>
      <c r="F51" s="36">
        <v>0</v>
      </c>
      <c r="G51" s="36">
        <v>0</v>
      </c>
      <c r="H51" s="36">
        <v>446000</v>
      </c>
      <c r="I51" s="36">
        <v>340000</v>
      </c>
      <c r="J51" s="36">
        <v>266000</v>
      </c>
      <c r="K51" s="38">
        <f t="shared" si="4"/>
        <v>0</v>
      </c>
      <c r="L51" s="38">
        <f t="shared" si="0"/>
        <v>0</v>
      </c>
      <c r="M51" s="38">
        <f t="shared" si="1"/>
        <v>-434000</v>
      </c>
      <c r="N51" s="38">
        <f t="shared" si="2"/>
        <v>-331000</v>
      </c>
      <c r="O51" s="38">
        <f t="shared" si="3"/>
        <v>-259000</v>
      </c>
    </row>
    <row r="52" spans="1:15" ht="15.75" hidden="1" x14ac:dyDescent="0.25">
      <c r="A52" s="32" t="s">
        <v>69</v>
      </c>
      <c r="B52" s="32" t="s">
        <v>338</v>
      </c>
      <c r="C52" s="33" t="s">
        <v>284</v>
      </c>
      <c r="D52" s="34">
        <v>45839</v>
      </c>
      <c r="E52" s="35">
        <v>19700</v>
      </c>
      <c r="F52" s="36">
        <v>1167000</v>
      </c>
      <c r="G52" s="36">
        <v>0</v>
      </c>
      <c r="H52" s="36">
        <v>298000</v>
      </c>
      <c r="I52" s="36">
        <v>254000</v>
      </c>
      <c r="J52" s="36">
        <v>245000</v>
      </c>
      <c r="K52" s="38">
        <f t="shared" si="4"/>
        <v>-1135000</v>
      </c>
      <c r="L52" s="38">
        <f t="shared" si="0"/>
        <v>0</v>
      </c>
      <c r="M52" s="38">
        <f t="shared" si="1"/>
        <v>-290000</v>
      </c>
      <c r="N52" s="38">
        <f t="shared" si="2"/>
        <v>-247000</v>
      </c>
      <c r="O52" s="38">
        <f t="shared" si="3"/>
        <v>-238000</v>
      </c>
    </row>
    <row r="53" spans="1:15" ht="15.75" hidden="1" x14ac:dyDescent="0.25">
      <c r="A53" s="32" t="s">
        <v>69</v>
      </c>
      <c r="B53" s="32" t="s">
        <v>73</v>
      </c>
      <c r="C53" s="33" t="s">
        <v>284</v>
      </c>
      <c r="D53" s="34">
        <v>45839</v>
      </c>
      <c r="E53" s="35">
        <v>19700</v>
      </c>
      <c r="F53" s="36">
        <v>0</v>
      </c>
      <c r="G53" s="36">
        <v>0</v>
      </c>
      <c r="H53" s="36">
        <v>361000</v>
      </c>
      <c r="I53" s="36">
        <v>298000</v>
      </c>
      <c r="J53" s="36">
        <v>287000</v>
      </c>
      <c r="K53" s="38">
        <f t="shared" si="4"/>
        <v>0</v>
      </c>
      <c r="L53" s="38">
        <f t="shared" si="0"/>
        <v>0</v>
      </c>
      <c r="M53" s="38">
        <f t="shared" si="1"/>
        <v>-351000</v>
      </c>
      <c r="N53" s="38">
        <f t="shared" si="2"/>
        <v>-290000</v>
      </c>
      <c r="O53" s="38">
        <f t="shared" si="3"/>
        <v>-279000</v>
      </c>
    </row>
    <row r="54" spans="1:15" ht="15.75" hidden="1" x14ac:dyDescent="0.25">
      <c r="A54" s="32" t="s">
        <v>69</v>
      </c>
      <c r="B54" s="32" t="s">
        <v>425</v>
      </c>
      <c r="C54" s="33" t="s">
        <v>284</v>
      </c>
      <c r="D54" s="34">
        <v>45839</v>
      </c>
      <c r="E54" s="35">
        <v>19700</v>
      </c>
      <c r="F54" s="36">
        <v>1167000</v>
      </c>
      <c r="G54" s="36">
        <v>0</v>
      </c>
      <c r="H54" s="36">
        <v>298000</v>
      </c>
      <c r="I54" s="36">
        <v>254000</v>
      </c>
      <c r="J54" s="36">
        <v>245000</v>
      </c>
      <c r="K54" s="38">
        <f t="shared" si="4"/>
        <v>-1135000</v>
      </c>
      <c r="L54" s="38">
        <f t="shared" si="0"/>
        <v>0</v>
      </c>
      <c r="M54" s="38">
        <f t="shared" si="1"/>
        <v>-290000</v>
      </c>
      <c r="N54" s="38">
        <f t="shared" si="2"/>
        <v>-247000</v>
      </c>
      <c r="O54" s="38">
        <f t="shared" si="3"/>
        <v>-238000</v>
      </c>
    </row>
    <row r="55" spans="1:15" ht="15.75" hidden="1" x14ac:dyDescent="0.25">
      <c r="A55" s="32" t="s">
        <v>69</v>
      </c>
      <c r="B55" s="37" t="s">
        <v>74</v>
      </c>
      <c r="C55" s="33" t="s">
        <v>284</v>
      </c>
      <c r="D55" s="34">
        <v>45839</v>
      </c>
      <c r="E55" s="35">
        <v>19700</v>
      </c>
      <c r="F55" s="36">
        <v>1167000</v>
      </c>
      <c r="G55" s="36">
        <v>0</v>
      </c>
      <c r="H55" s="36">
        <v>298000</v>
      </c>
      <c r="I55" s="36">
        <v>254000</v>
      </c>
      <c r="J55" s="36">
        <v>245000</v>
      </c>
      <c r="K55" s="38">
        <f t="shared" si="4"/>
        <v>-1135000</v>
      </c>
      <c r="L55" s="38">
        <f t="shared" si="0"/>
        <v>0</v>
      </c>
      <c r="M55" s="38">
        <f t="shared" si="1"/>
        <v>-290000</v>
      </c>
      <c r="N55" s="38">
        <f t="shared" si="2"/>
        <v>-247000</v>
      </c>
      <c r="O55" s="38">
        <f t="shared" si="3"/>
        <v>-238000</v>
      </c>
    </row>
    <row r="56" spans="1:15" ht="15.75" hidden="1" x14ac:dyDescent="0.25">
      <c r="A56" s="32" t="s">
        <v>69</v>
      </c>
      <c r="B56" s="32" t="s">
        <v>75</v>
      </c>
      <c r="C56" s="33" t="s">
        <v>284</v>
      </c>
      <c r="D56" s="34">
        <v>45839</v>
      </c>
      <c r="E56" s="35">
        <v>19700</v>
      </c>
      <c r="F56" s="36">
        <v>1167000</v>
      </c>
      <c r="G56" s="36">
        <v>0</v>
      </c>
      <c r="H56" s="36">
        <v>298000</v>
      </c>
      <c r="I56" s="36">
        <v>254000</v>
      </c>
      <c r="J56" s="36">
        <v>245000</v>
      </c>
      <c r="K56" s="38">
        <f t="shared" si="4"/>
        <v>-1135000</v>
      </c>
      <c r="L56" s="38">
        <f t="shared" si="0"/>
        <v>0</v>
      </c>
      <c r="M56" s="38">
        <f t="shared" si="1"/>
        <v>-290000</v>
      </c>
      <c r="N56" s="38">
        <f t="shared" si="2"/>
        <v>-247000</v>
      </c>
      <c r="O56" s="38">
        <f t="shared" si="3"/>
        <v>-238000</v>
      </c>
    </row>
    <row r="57" spans="1:15" ht="15.75" hidden="1" x14ac:dyDescent="0.25">
      <c r="A57" s="32" t="s">
        <v>69</v>
      </c>
      <c r="B57" s="32" t="s">
        <v>327</v>
      </c>
      <c r="C57" s="33" t="s">
        <v>284</v>
      </c>
      <c r="D57" s="34">
        <v>45839</v>
      </c>
      <c r="E57" s="35">
        <v>19700</v>
      </c>
      <c r="F57" s="36">
        <v>0</v>
      </c>
      <c r="G57" s="36">
        <v>0</v>
      </c>
      <c r="H57" s="36">
        <v>446000</v>
      </c>
      <c r="I57" s="36">
        <v>340000</v>
      </c>
      <c r="J57" s="36">
        <v>266000</v>
      </c>
      <c r="K57" s="38">
        <f t="shared" si="4"/>
        <v>0</v>
      </c>
      <c r="L57" s="38">
        <f t="shared" si="0"/>
        <v>0</v>
      </c>
      <c r="M57" s="38">
        <f t="shared" si="1"/>
        <v>-434000</v>
      </c>
      <c r="N57" s="38">
        <f t="shared" si="2"/>
        <v>-331000</v>
      </c>
      <c r="O57" s="38">
        <f t="shared" si="3"/>
        <v>-259000</v>
      </c>
    </row>
    <row r="58" spans="1:15" ht="15.75" hidden="1" x14ac:dyDescent="0.25">
      <c r="A58" s="32" t="s">
        <v>69</v>
      </c>
      <c r="B58" s="32" t="s">
        <v>421</v>
      </c>
      <c r="C58" s="33" t="s">
        <v>284</v>
      </c>
      <c r="D58" s="34">
        <v>45839</v>
      </c>
      <c r="E58" s="35">
        <v>19700</v>
      </c>
      <c r="F58" s="36">
        <v>1167000</v>
      </c>
      <c r="G58" s="36">
        <v>0</v>
      </c>
      <c r="H58" s="36">
        <v>298000</v>
      </c>
      <c r="I58" s="36">
        <v>254000</v>
      </c>
      <c r="J58" s="36">
        <v>245000</v>
      </c>
      <c r="K58" s="38">
        <f t="shared" si="4"/>
        <v>-1135000</v>
      </c>
      <c r="L58" s="38">
        <f t="shared" si="0"/>
        <v>0</v>
      </c>
      <c r="M58" s="38">
        <f t="shared" si="1"/>
        <v>-290000</v>
      </c>
      <c r="N58" s="38">
        <f t="shared" si="2"/>
        <v>-247000</v>
      </c>
      <c r="O58" s="38">
        <f t="shared" si="3"/>
        <v>-238000</v>
      </c>
    </row>
    <row r="59" spans="1:15" ht="15.75" hidden="1" x14ac:dyDescent="0.25">
      <c r="A59" s="32" t="s">
        <v>69</v>
      </c>
      <c r="B59" s="32" t="s">
        <v>339</v>
      </c>
      <c r="C59" s="33" t="s">
        <v>284</v>
      </c>
      <c r="D59" s="34">
        <v>45839</v>
      </c>
      <c r="E59" s="35">
        <v>19700</v>
      </c>
      <c r="F59" s="36">
        <v>1167000</v>
      </c>
      <c r="G59" s="36">
        <v>0</v>
      </c>
      <c r="H59" s="36">
        <v>298000</v>
      </c>
      <c r="I59" s="36">
        <v>254000</v>
      </c>
      <c r="J59" s="36">
        <v>245000</v>
      </c>
      <c r="K59" s="38">
        <f t="shared" si="4"/>
        <v>-1135000</v>
      </c>
      <c r="L59" s="38">
        <f t="shared" si="0"/>
        <v>0</v>
      </c>
      <c r="M59" s="38">
        <f t="shared" si="1"/>
        <v>-290000</v>
      </c>
      <c r="N59" s="38">
        <f t="shared" si="2"/>
        <v>-247000</v>
      </c>
      <c r="O59" s="38">
        <f t="shared" si="3"/>
        <v>-238000</v>
      </c>
    </row>
    <row r="60" spans="1:15" ht="15.75" hidden="1" x14ac:dyDescent="0.25">
      <c r="A60" s="32" t="s">
        <v>69</v>
      </c>
      <c r="B60" s="32" t="s">
        <v>340</v>
      </c>
      <c r="C60" s="33" t="s">
        <v>284</v>
      </c>
      <c r="D60" s="34">
        <v>45839</v>
      </c>
      <c r="E60" s="35">
        <v>19700</v>
      </c>
      <c r="F60" s="36">
        <v>1167000</v>
      </c>
      <c r="G60" s="36">
        <v>0</v>
      </c>
      <c r="H60" s="36">
        <v>298000</v>
      </c>
      <c r="I60" s="36">
        <v>254000</v>
      </c>
      <c r="J60" s="36">
        <v>245000</v>
      </c>
      <c r="K60" s="38">
        <f t="shared" si="4"/>
        <v>-1135000</v>
      </c>
      <c r="L60" s="38">
        <f t="shared" si="0"/>
        <v>0</v>
      </c>
      <c r="M60" s="38">
        <f t="shared" si="1"/>
        <v>-290000</v>
      </c>
      <c r="N60" s="38">
        <f t="shared" si="2"/>
        <v>-247000</v>
      </c>
      <c r="O60" s="38">
        <f t="shared" si="3"/>
        <v>-238000</v>
      </c>
    </row>
    <row r="61" spans="1:15" ht="15.75" hidden="1" x14ac:dyDescent="0.25">
      <c r="A61" s="32" t="s">
        <v>69</v>
      </c>
      <c r="B61" s="32" t="s">
        <v>76</v>
      </c>
      <c r="C61" s="33" t="s">
        <v>284</v>
      </c>
      <c r="D61" s="34">
        <v>45839</v>
      </c>
      <c r="E61" s="35">
        <v>19700</v>
      </c>
      <c r="F61" s="36">
        <v>0</v>
      </c>
      <c r="G61" s="36">
        <v>0</v>
      </c>
      <c r="H61" s="36">
        <v>424000</v>
      </c>
      <c r="I61" s="36">
        <v>403000</v>
      </c>
      <c r="J61" s="36">
        <v>393000</v>
      </c>
      <c r="K61" s="38">
        <f t="shared" si="4"/>
        <v>0</v>
      </c>
      <c r="L61" s="38">
        <f t="shared" si="0"/>
        <v>0</v>
      </c>
      <c r="M61" s="38">
        <f t="shared" si="1"/>
        <v>-412000</v>
      </c>
      <c r="N61" s="38">
        <f t="shared" si="2"/>
        <v>-392000</v>
      </c>
      <c r="O61" s="38">
        <f t="shared" si="3"/>
        <v>-382000</v>
      </c>
    </row>
    <row r="62" spans="1:15" ht="15.75" hidden="1" x14ac:dyDescent="0.25">
      <c r="A62" s="32" t="s">
        <v>69</v>
      </c>
      <c r="B62" s="32" t="s">
        <v>341</v>
      </c>
      <c r="C62" s="33" t="s">
        <v>284</v>
      </c>
      <c r="D62" s="34">
        <v>45839</v>
      </c>
      <c r="E62" s="35">
        <v>19700</v>
      </c>
      <c r="F62" s="36">
        <v>1167000</v>
      </c>
      <c r="G62" s="36">
        <v>0</v>
      </c>
      <c r="H62" s="36">
        <v>298000</v>
      </c>
      <c r="I62" s="36">
        <v>254000</v>
      </c>
      <c r="J62" s="36">
        <v>245000</v>
      </c>
      <c r="K62" s="38">
        <f t="shared" si="4"/>
        <v>-1135000</v>
      </c>
      <c r="L62" s="38">
        <f t="shared" si="0"/>
        <v>0</v>
      </c>
      <c r="M62" s="38">
        <f t="shared" si="1"/>
        <v>-290000</v>
      </c>
      <c r="N62" s="38">
        <f t="shared" si="2"/>
        <v>-247000</v>
      </c>
      <c r="O62" s="38">
        <f t="shared" si="3"/>
        <v>-238000</v>
      </c>
    </row>
    <row r="63" spans="1:15" ht="15.75" hidden="1" x14ac:dyDescent="0.25">
      <c r="A63" s="32" t="s">
        <v>69</v>
      </c>
      <c r="B63" s="32" t="s">
        <v>342</v>
      </c>
      <c r="C63" s="33" t="s">
        <v>284</v>
      </c>
      <c r="D63" s="34">
        <v>45839</v>
      </c>
      <c r="E63" s="35">
        <v>19700</v>
      </c>
      <c r="F63" s="36">
        <v>1167000</v>
      </c>
      <c r="G63" s="36">
        <v>0</v>
      </c>
      <c r="H63" s="36">
        <v>298000</v>
      </c>
      <c r="I63" s="36">
        <v>254000</v>
      </c>
      <c r="J63" s="36">
        <v>245000</v>
      </c>
      <c r="K63" s="38">
        <f t="shared" si="4"/>
        <v>-1135000</v>
      </c>
      <c r="L63" s="38">
        <f t="shared" si="0"/>
        <v>0</v>
      </c>
      <c r="M63" s="38">
        <f t="shared" si="1"/>
        <v>-290000</v>
      </c>
      <c r="N63" s="38">
        <f t="shared" si="2"/>
        <v>-247000</v>
      </c>
      <c r="O63" s="38">
        <f t="shared" si="3"/>
        <v>-238000</v>
      </c>
    </row>
    <row r="64" spans="1:15" ht="15.75" hidden="1" x14ac:dyDescent="0.25">
      <c r="A64" s="32" t="s">
        <v>69</v>
      </c>
      <c r="B64" s="32" t="s">
        <v>77</v>
      </c>
      <c r="C64" s="33" t="s">
        <v>284</v>
      </c>
      <c r="D64" s="34">
        <v>45839</v>
      </c>
      <c r="E64" s="35">
        <v>19700</v>
      </c>
      <c r="F64" s="36">
        <v>0</v>
      </c>
      <c r="G64" s="36">
        <v>0</v>
      </c>
      <c r="H64" s="36">
        <v>361000</v>
      </c>
      <c r="I64" s="36">
        <v>298000</v>
      </c>
      <c r="J64" s="36">
        <v>287000</v>
      </c>
      <c r="K64" s="38">
        <f t="shared" si="4"/>
        <v>0</v>
      </c>
      <c r="L64" s="38">
        <f t="shared" si="0"/>
        <v>0</v>
      </c>
      <c r="M64" s="38">
        <f t="shared" si="1"/>
        <v>-351000</v>
      </c>
      <c r="N64" s="38">
        <f t="shared" si="2"/>
        <v>-290000</v>
      </c>
      <c r="O64" s="38">
        <f t="shared" si="3"/>
        <v>-279000</v>
      </c>
    </row>
    <row r="65" spans="1:15" ht="15.75" hidden="1" x14ac:dyDescent="0.25">
      <c r="A65" s="32" t="s">
        <v>69</v>
      </c>
      <c r="B65" s="32" t="s">
        <v>343</v>
      </c>
      <c r="C65" s="33" t="s">
        <v>284</v>
      </c>
      <c r="D65" s="34">
        <v>45839</v>
      </c>
      <c r="E65" s="35">
        <v>19700</v>
      </c>
      <c r="F65" s="36">
        <v>1167000</v>
      </c>
      <c r="G65" s="36">
        <v>0</v>
      </c>
      <c r="H65" s="36">
        <v>298000</v>
      </c>
      <c r="I65" s="36">
        <v>254000</v>
      </c>
      <c r="J65" s="36">
        <v>245000</v>
      </c>
      <c r="K65" s="38">
        <f t="shared" si="4"/>
        <v>-1135000</v>
      </c>
      <c r="L65" s="38">
        <f t="shared" si="0"/>
        <v>0</v>
      </c>
      <c r="M65" s="38">
        <f t="shared" si="1"/>
        <v>-290000</v>
      </c>
      <c r="N65" s="38">
        <f t="shared" si="2"/>
        <v>-247000</v>
      </c>
      <c r="O65" s="38">
        <f t="shared" si="3"/>
        <v>-238000</v>
      </c>
    </row>
    <row r="66" spans="1:15" ht="15.75" hidden="1" x14ac:dyDescent="0.25">
      <c r="A66" s="32" t="s">
        <v>69</v>
      </c>
      <c r="B66" s="32" t="s">
        <v>422</v>
      </c>
      <c r="C66" s="33" t="s">
        <v>284</v>
      </c>
      <c r="D66" s="34">
        <v>45839</v>
      </c>
      <c r="E66" s="35">
        <v>19700</v>
      </c>
      <c r="F66" s="36">
        <v>0</v>
      </c>
      <c r="G66" s="36">
        <v>0</v>
      </c>
      <c r="H66" s="36">
        <v>361000</v>
      </c>
      <c r="I66" s="36">
        <v>298000</v>
      </c>
      <c r="J66" s="36">
        <v>287000</v>
      </c>
      <c r="K66" s="38">
        <f t="shared" si="4"/>
        <v>0</v>
      </c>
      <c r="L66" s="38">
        <f t="shared" ref="L66:L129" si="5">ROUND(G66*2.74%-G66,-3)</f>
        <v>0</v>
      </c>
      <c r="M66" s="38">
        <f t="shared" ref="M66:M129" si="6">ROUND(H66*2.74%-H66,-3)</f>
        <v>-351000</v>
      </c>
      <c r="N66" s="38">
        <f t="shared" ref="N66:N129" si="7">ROUND(I66*2.74%-I66,-3)</f>
        <v>-290000</v>
      </c>
      <c r="O66" s="38">
        <f t="shared" ref="O66:O129" si="8">ROUND(J66*2.74%-J66,-3)</f>
        <v>-279000</v>
      </c>
    </row>
    <row r="67" spans="1:15" ht="15.75" hidden="1" x14ac:dyDescent="0.25">
      <c r="A67" s="32" t="s">
        <v>69</v>
      </c>
      <c r="B67" s="32" t="s">
        <v>78</v>
      </c>
      <c r="C67" s="33" t="s">
        <v>284</v>
      </c>
      <c r="D67" s="34">
        <v>45839</v>
      </c>
      <c r="E67" s="35">
        <v>19700</v>
      </c>
      <c r="F67" s="36">
        <v>0</v>
      </c>
      <c r="G67" s="36">
        <v>0</v>
      </c>
      <c r="H67" s="36">
        <v>424000</v>
      </c>
      <c r="I67" s="36">
        <v>403000</v>
      </c>
      <c r="J67" s="36">
        <v>393000</v>
      </c>
      <c r="K67" s="38">
        <f t="shared" ref="K67:K130" si="9">ROUND(F67*2.74%-F67,-3)</f>
        <v>0</v>
      </c>
      <c r="L67" s="38">
        <f t="shared" si="5"/>
        <v>0</v>
      </c>
      <c r="M67" s="38">
        <f t="shared" si="6"/>
        <v>-412000</v>
      </c>
      <c r="N67" s="38">
        <f t="shared" si="7"/>
        <v>-392000</v>
      </c>
      <c r="O67" s="38">
        <f t="shared" si="8"/>
        <v>-382000</v>
      </c>
    </row>
    <row r="68" spans="1:15" ht="15.75" hidden="1" x14ac:dyDescent="0.25">
      <c r="A68" s="32" t="s">
        <v>69</v>
      </c>
      <c r="B68" s="32" t="s">
        <v>351</v>
      </c>
      <c r="C68" s="33" t="s">
        <v>284</v>
      </c>
      <c r="D68" s="34">
        <v>45839</v>
      </c>
      <c r="E68" s="35">
        <v>19700</v>
      </c>
      <c r="F68" s="36">
        <v>0</v>
      </c>
      <c r="G68" s="36">
        <v>0</v>
      </c>
      <c r="H68" s="36">
        <v>424000</v>
      </c>
      <c r="I68" s="36">
        <v>403000</v>
      </c>
      <c r="J68" s="36">
        <v>393000</v>
      </c>
      <c r="K68" s="38">
        <f t="shared" si="9"/>
        <v>0</v>
      </c>
      <c r="L68" s="38">
        <f t="shared" si="5"/>
        <v>0</v>
      </c>
      <c r="M68" s="38">
        <f t="shared" si="6"/>
        <v>-412000</v>
      </c>
      <c r="N68" s="38">
        <f t="shared" si="7"/>
        <v>-392000</v>
      </c>
      <c r="O68" s="38">
        <f t="shared" si="8"/>
        <v>-382000</v>
      </c>
    </row>
    <row r="69" spans="1:15" ht="15.75" hidden="1" x14ac:dyDescent="0.25">
      <c r="A69" s="32" t="s">
        <v>79</v>
      </c>
      <c r="B69" s="32" t="s">
        <v>354</v>
      </c>
      <c r="C69" s="33" t="s">
        <v>284</v>
      </c>
      <c r="D69" s="34">
        <v>45839</v>
      </c>
      <c r="E69" s="35">
        <v>19700</v>
      </c>
      <c r="F69" s="36">
        <v>0</v>
      </c>
      <c r="G69" s="36">
        <v>0</v>
      </c>
      <c r="H69" s="36">
        <v>424000</v>
      </c>
      <c r="I69" s="36">
        <v>361000</v>
      </c>
      <c r="J69" s="36">
        <v>298000</v>
      </c>
      <c r="K69" s="38">
        <f t="shared" si="9"/>
        <v>0</v>
      </c>
      <c r="L69" s="38">
        <f t="shared" si="5"/>
        <v>0</v>
      </c>
      <c r="M69" s="38">
        <f t="shared" si="6"/>
        <v>-412000</v>
      </c>
      <c r="N69" s="38">
        <f t="shared" si="7"/>
        <v>-351000</v>
      </c>
      <c r="O69" s="38">
        <f t="shared" si="8"/>
        <v>-290000</v>
      </c>
    </row>
    <row r="70" spans="1:15" ht="15.75" hidden="1" x14ac:dyDescent="0.25">
      <c r="A70" s="32" t="s">
        <v>79</v>
      </c>
      <c r="B70" s="32" t="s">
        <v>104</v>
      </c>
      <c r="C70" s="33" t="s">
        <v>284</v>
      </c>
      <c r="D70" s="34">
        <v>45839</v>
      </c>
      <c r="E70" s="35">
        <v>19700</v>
      </c>
      <c r="F70" s="36">
        <v>0</v>
      </c>
      <c r="G70" s="36">
        <v>0</v>
      </c>
      <c r="H70" s="36">
        <v>382000</v>
      </c>
      <c r="I70" s="36">
        <v>372000</v>
      </c>
      <c r="J70" s="36">
        <v>287000</v>
      </c>
      <c r="K70" s="38">
        <f t="shared" si="9"/>
        <v>0</v>
      </c>
      <c r="L70" s="38">
        <f t="shared" si="5"/>
        <v>0</v>
      </c>
      <c r="M70" s="38">
        <f t="shared" si="6"/>
        <v>-372000</v>
      </c>
      <c r="N70" s="38">
        <f t="shared" si="7"/>
        <v>-362000</v>
      </c>
      <c r="O70" s="38">
        <f t="shared" si="8"/>
        <v>-279000</v>
      </c>
    </row>
    <row r="71" spans="1:15" ht="15.75" hidden="1" x14ac:dyDescent="0.25">
      <c r="A71" s="32" t="s">
        <v>79</v>
      </c>
      <c r="B71" s="32" t="s">
        <v>80</v>
      </c>
      <c r="C71" s="33" t="s">
        <v>284</v>
      </c>
      <c r="D71" s="34">
        <v>45839</v>
      </c>
      <c r="E71" s="35">
        <v>19700</v>
      </c>
      <c r="F71" s="36">
        <v>0</v>
      </c>
      <c r="G71" s="36">
        <v>0</v>
      </c>
      <c r="H71" s="36">
        <v>382000</v>
      </c>
      <c r="I71" s="36">
        <v>298000</v>
      </c>
      <c r="J71" s="36">
        <v>266000</v>
      </c>
      <c r="K71" s="38">
        <f t="shared" si="9"/>
        <v>0</v>
      </c>
      <c r="L71" s="38">
        <f t="shared" si="5"/>
        <v>0</v>
      </c>
      <c r="M71" s="38">
        <f t="shared" si="6"/>
        <v>-372000</v>
      </c>
      <c r="N71" s="38">
        <f t="shared" si="7"/>
        <v>-290000</v>
      </c>
      <c r="O71" s="38">
        <f t="shared" si="8"/>
        <v>-259000</v>
      </c>
    </row>
    <row r="72" spans="1:15" ht="15.75" hidden="1" x14ac:dyDescent="0.25">
      <c r="A72" s="32" t="s">
        <v>79</v>
      </c>
      <c r="B72" s="32" t="s">
        <v>415</v>
      </c>
      <c r="C72" s="33" t="s">
        <v>284</v>
      </c>
      <c r="D72" s="34">
        <v>45839</v>
      </c>
      <c r="E72" s="35">
        <v>19700</v>
      </c>
      <c r="F72" s="36">
        <v>0</v>
      </c>
      <c r="G72" s="36">
        <v>0</v>
      </c>
      <c r="H72" s="36">
        <v>372000</v>
      </c>
      <c r="I72" s="36">
        <v>361000</v>
      </c>
      <c r="J72" s="36">
        <v>276000</v>
      </c>
      <c r="K72" s="38">
        <f t="shared" si="9"/>
        <v>0</v>
      </c>
      <c r="L72" s="38">
        <f t="shared" si="5"/>
        <v>0</v>
      </c>
      <c r="M72" s="38">
        <f t="shared" si="6"/>
        <v>-362000</v>
      </c>
      <c r="N72" s="38">
        <f t="shared" si="7"/>
        <v>-351000</v>
      </c>
      <c r="O72" s="38">
        <f t="shared" si="8"/>
        <v>-268000</v>
      </c>
    </row>
    <row r="73" spans="1:15" ht="15.75" hidden="1" x14ac:dyDescent="0.25">
      <c r="A73" s="32" t="s">
        <v>79</v>
      </c>
      <c r="B73" s="32" t="s">
        <v>412</v>
      </c>
      <c r="C73" s="33" t="s">
        <v>284</v>
      </c>
      <c r="D73" s="34">
        <v>45839</v>
      </c>
      <c r="E73" s="35">
        <v>19700</v>
      </c>
      <c r="F73" s="36">
        <v>0</v>
      </c>
      <c r="G73" s="36">
        <v>0</v>
      </c>
      <c r="H73" s="36">
        <v>382000</v>
      </c>
      <c r="I73" s="36">
        <v>372000</v>
      </c>
      <c r="J73" s="36">
        <v>287000</v>
      </c>
      <c r="K73" s="38">
        <f t="shared" si="9"/>
        <v>0</v>
      </c>
      <c r="L73" s="38">
        <f t="shared" si="5"/>
        <v>0</v>
      </c>
      <c r="M73" s="38">
        <f t="shared" si="6"/>
        <v>-372000</v>
      </c>
      <c r="N73" s="38">
        <f t="shared" si="7"/>
        <v>-362000</v>
      </c>
      <c r="O73" s="38">
        <f t="shared" si="8"/>
        <v>-279000</v>
      </c>
    </row>
    <row r="74" spans="1:15" ht="15.75" hidden="1" x14ac:dyDescent="0.25">
      <c r="A74" s="32" t="s">
        <v>79</v>
      </c>
      <c r="B74" s="32" t="s">
        <v>352</v>
      </c>
      <c r="C74" s="33" t="s">
        <v>284</v>
      </c>
      <c r="D74" s="34">
        <v>45839</v>
      </c>
      <c r="E74" s="35">
        <v>19700</v>
      </c>
      <c r="F74" s="36">
        <v>0</v>
      </c>
      <c r="G74" s="36">
        <v>0</v>
      </c>
      <c r="H74" s="36">
        <v>382000</v>
      </c>
      <c r="I74" s="36">
        <v>298000</v>
      </c>
      <c r="J74" s="36">
        <v>266000</v>
      </c>
      <c r="K74" s="38">
        <f t="shared" si="9"/>
        <v>0</v>
      </c>
      <c r="L74" s="38">
        <f t="shared" si="5"/>
        <v>0</v>
      </c>
      <c r="M74" s="38">
        <f t="shared" si="6"/>
        <v>-372000</v>
      </c>
      <c r="N74" s="38">
        <f t="shared" si="7"/>
        <v>-290000</v>
      </c>
      <c r="O74" s="38">
        <f t="shared" si="8"/>
        <v>-259000</v>
      </c>
    </row>
    <row r="75" spans="1:15" ht="15.75" hidden="1" x14ac:dyDescent="0.25">
      <c r="A75" s="32" t="s">
        <v>79</v>
      </c>
      <c r="B75" s="32" t="s">
        <v>416</v>
      </c>
      <c r="C75" s="33" t="s">
        <v>284</v>
      </c>
      <c r="D75" s="34">
        <v>45839</v>
      </c>
      <c r="E75" s="35">
        <v>19700</v>
      </c>
      <c r="F75" s="36">
        <v>0</v>
      </c>
      <c r="G75" s="36">
        <v>0</v>
      </c>
      <c r="H75" s="36">
        <v>372000</v>
      </c>
      <c r="I75" s="36">
        <v>361000</v>
      </c>
      <c r="J75" s="36">
        <v>276000</v>
      </c>
      <c r="K75" s="38">
        <f t="shared" si="9"/>
        <v>0</v>
      </c>
      <c r="L75" s="38">
        <f t="shared" si="5"/>
        <v>0</v>
      </c>
      <c r="M75" s="38">
        <f t="shared" si="6"/>
        <v>-362000</v>
      </c>
      <c r="N75" s="38">
        <f t="shared" si="7"/>
        <v>-351000</v>
      </c>
      <c r="O75" s="38">
        <f t="shared" si="8"/>
        <v>-268000</v>
      </c>
    </row>
    <row r="76" spans="1:15" ht="15.75" hidden="1" x14ac:dyDescent="0.25">
      <c r="A76" s="32" t="s">
        <v>79</v>
      </c>
      <c r="B76" s="32" t="s">
        <v>105</v>
      </c>
      <c r="C76" s="33" t="s">
        <v>284</v>
      </c>
      <c r="D76" s="34">
        <v>45839</v>
      </c>
      <c r="E76" s="35">
        <v>19700</v>
      </c>
      <c r="F76" s="36">
        <v>0</v>
      </c>
      <c r="G76" s="36">
        <v>0</v>
      </c>
      <c r="H76" s="36">
        <v>372000</v>
      </c>
      <c r="I76" s="36">
        <v>361000</v>
      </c>
      <c r="J76" s="36">
        <v>276000</v>
      </c>
      <c r="K76" s="38">
        <f t="shared" si="9"/>
        <v>0</v>
      </c>
      <c r="L76" s="38">
        <f t="shared" si="5"/>
        <v>0</v>
      </c>
      <c r="M76" s="38">
        <f t="shared" si="6"/>
        <v>-362000</v>
      </c>
      <c r="N76" s="38">
        <f t="shared" si="7"/>
        <v>-351000</v>
      </c>
      <c r="O76" s="38">
        <f t="shared" si="8"/>
        <v>-268000</v>
      </c>
    </row>
    <row r="77" spans="1:15" ht="15.75" hidden="1" x14ac:dyDescent="0.25">
      <c r="A77" s="32" t="s">
        <v>79</v>
      </c>
      <c r="B77" s="32" t="s">
        <v>413</v>
      </c>
      <c r="C77" s="33" t="s">
        <v>284</v>
      </c>
      <c r="D77" s="34">
        <v>45839</v>
      </c>
      <c r="E77" s="35">
        <v>19700</v>
      </c>
      <c r="F77" s="36">
        <v>0</v>
      </c>
      <c r="G77" s="36">
        <v>0</v>
      </c>
      <c r="H77" s="36">
        <v>382000</v>
      </c>
      <c r="I77" s="36">
        <v>372000</v>
      </c>
      <c r="J77" s="36">
        <v>287000</v>
      </c>
      <c r="K77" s="38">
        <f t="shared" si="9"/>
        <v>0</v>
      </c>
      <c r="L77" s="38">
        <f t="shared" si="5"/>
        <v>0</v>
      </c>
      <c r="M77" s="38">
        <f t="shared" si="6"/>
        <v>-372000</v>
      </c>
      <c r="N77" s="38">
        <f t="shared" si="7"/>
        <v>-362000</v>
      </c>
      <c r="O77" s="38">
        <f t="shared" si="8"/>
        <v>-279000</v>
      </c>
    </row>
    <row r="78" spans="1:15" ht="15.75" hidden="1" x14ac:dyDescent="0.25">
      <c r="A78" s="32" t="s">
        <v>79</v>
      </c>
      <c r="B78" s="32" t="s">
        <v>82</v>
      </c>
      <c r="C78" s="33" t="s">
        <v>284</v>
      </c>
      <c r="D78" s="34">
        <v>45839</v>
      </c>
      <c r="E78" s="35">
        <v>19700</v>
      </c>
      <c r="F78" s="36">
        <v>0</v>
      </c>
      <c r="G78" s="36">
        <v>0</v>
      </c>
      <c r="H78" s="36">
        <v>340000</v>
      </c>
      <c r="I78" s="36">
        <v>298000</v>
      </c>
      <c r="J78" s="36">
        <v>254000</v>
      </c>
      <c r="K78" s="38">
        <f t="shared" si="9"/>
        <v>0</v>
      </c>
      <c r="L78" s="38">
        <f t="shared" si="5"/>
        <v>0</v>
      </c>
      <c r="M78" s="38">
        <f t="shared" si="6"/>
        <v>-331000</v>
      </c>
      <c r="N78" s="38">
        <f t="shared" si="7"/>
        <v>-290000</v>
      </c>
      <c r="O78" s="38">
        <f t="shared" si="8"/>
        <v>-247000</v>
      </c>
    </row>
    <row r="79" spans="1:15" ht="15.75" hidden="1" x14ac:dyDescent="0.25">
      <c r="A79" s="32" t="s">
        <v>79</v>
      </c>
      <c r="B79" s="32" t="s">
        <v>414</v>
      </c>
      <c r="C79" s="33" t="s">
        <v>284</v>
      </c>
      <c r="D79" s="34">
        <v>45839</v>
      </c>
      <c r="E79" s="35">
        <v>19700</v>
      </c>
      <c r="F79" s="36">
        <v>0</v>
      </c>
      <c r="G79" s="36">
        <v>0</v>
      </c>
      <c r="H79" s="36">
        <v>382000</v>
      </c>
      <c r="I79" s="36">
        <v>372000</v>
      </c>
      <c r="J79" s="36">
        <v>287000</v>
      </c>
      <c r="K79" s="38">
        <f t="shared" si="9"/>
        <v>0</v>
      </c>
      <c r="L79" s="38">
        <f t="shared" si="5"/>
        <v>0</v>
      </c>
      <c r="M79" s="38">
        <f t="shared" si="6"/>
        <v>-372000</v>
      </c>
      <c r="N79" s="38">
        <f t="shared" si="7"/>
        <v>-362000</v>
      </c>
      <c r="O79" s="38">
        <f t="shared" si="8"/>
        <v>-279000</v>
      </c>
    </row>
    <row r="80" spans="1:15" ht="15.75" hidden="1" x14ac:dyDescent="0.25">
      <c r="A80" s="32" t="s">
        <v>79</v>
      </c>
      <c r="B80" s="32" t="s">
        <v>356</v>
      </c>
      <c r="C80" s="33" t="s">
        <v>284</v>
      </c>
      <c r="D80" s="34">
        <v>45839</v>
      </c>
      <c r="E80" s="35">
        <v>19700</v>
      </c>
      <c r="F80" s="36">
        <v>0</v>
      </c>
      <c r="G80" s="36">
        <v>0</v>
      </c>
      <c r="H80" s="36">
        <v>340000</v>
      </c>
      <c r="I80" s="36">
        <v>298000</v>
      </c>
      <c r="J80" s="36">
        <v>254000</v>
      </c>
      <c r="K80" s="38">
        <f t="shared" si="9"/>
        <v>0</v>
      </c>
      <c r="L80" s="38">
        <f t="shared" si="5"/>
        <v>0</v>
      </c>
      <c r="M80" s="38">
        <f t="shared" si="6"/>
        <v>-331000</v>
      </c>
      <c r="N80" s="38">
        <f t="shared" si="7"/>
        <v>-290000</v>
      </c>
      <c r="O80" s="38">
        <f t="shared" si="8"/>
        <v>-247000</v>
      </c>
    </row>
    <row r="81" spans="1:15" ht="15.75" hidden="1" x14ac:dyDescent="0.25">
      <c r="A81" s="32" t="s">
        <v>79</v>
      </c>
      <c r="B81" s="32" t="s">
        <v>417</v>
      </c>
      <c r="C81" s="33" t="s">
        <v>284</v>
      </c>
      <c r="D81" s="34">
        <v>45839</v>
      </c>
      <c r="E81" s="35">
        <v>19700</v>
      </c>
      <c r="F81" s="36">
        <v>0</v>
      </c>
      <c r="G81" s="36">
        <v>0</v>
      </c>
      <c r="H81" s="36">
        <v>372000</v>
      </c>
      <c r="I81" s="36">
        <v>361000</v>
      </c>
      <c r="J81" s="36">
        <v>276000</v>
      </c>
      <c r="K81" s="38">
        <f t="shared" si="9"/>
        <v>0</v>
      </c>
      <c r="L81" s="38">
        <f t="shared" si="5"/>
        <v>0</v>
      </c>
      <c r="M81" s="38">
        <f t="shared" si="6"/>
        <v>-362000</v>
      </c>
      <c r="N81" s="38">
        <f t="shared" si="7"/>
        <v>-351000</v>
      </c>
      <c r="O81" s="38">
        <f t="shared" si="8"/>
        <v>-268000</v>
      </c>
    </row>
    <row r="82" spans="1:15" ht="15.75" hidden="1" x14ac:dyDescent="0.25">
      <c r="A82" s="32" t="s">
        <v>79</v>
      </c>
      <c r="B82" s="32" t="s">
        <v>353</v>
      </c>
      <c r="C82" s="33" t="s">
        <v>284</v>
      </c>
      <c r="D82" s="34">
        <v>45839</v>
      </c>
      <c r="E82" s="35">
        <v>19700</v>
      </c>
      <c r="F82" s="36">
        <v>0</v>
      </c>
      <c r="G82" s="36">
        <v>0</v>
      </c>
      <c r="H82" s="36">
        <v>382000</v>
      </c>
      <c r="I82" s="36">
        <v>298000</v>
      </c>
      <c r="J82" s="36">
        <v>266000</v>
      </c>
      <c r="K82" s="38">
        <f t="shared" si="9"/>
        <v>0</v>
      </c>
      <c r="L82" s="38">
        <f t="shared" si="5"/>
        <v>0</v>
      </c>
      <c r="M82" s="38">
        <f t="shared" si="6"/>
        <v>-372000</v>
      </c>
      <c r="N82" s="38">
        <f t="shared" si="7"/>
        <v>-290000</v>
      </c>
      <c r="O82" s="38">
        <f t="shared" si="8"/>
        <v>-259000</v>
      </c>
    </row>
    <row r="83" spans="1:15" ht="15.75" hidden="1" x14ac:dyDescent="0.25">
      <c r="A83" s="32" t="s">
        <v>79</v>
      </c>
      <c r="B83" s="32" t="s">
        <v>355</v>
      </c>
      <c r="C83" s="33" t="s">
        <v>284</v>
      </c>
      <c r="D83" s="34">
        <v>45839</v>
      </c>
      <c r="E83" s="35">
        <v>19700</v>
      </c>
      <c r="F83" s="36">
        <v>0</v>
      </c>
      <c r="G83" s="36">
        <v>0</v>
      </c>
      <c r="H83" s="36">
        <v>424000</v>
      </c>
      <c r="I83" s="36">
        <v>361000</v>
      </c>
      <c r="J83" s="36">
        <v>298000</v>
      </c>
      <c r="K83" s="38">
        <f t="shared" si="9"/>
        <v>0</v>
      </c>
      <c r="L83" s="38">
        <f t="shared" si="5"/>
        <v>0</v>
      </c>
      <c r="M83" s="38">
        <f t="shared" si="6"/>
        <v>-412000</v>
      </c>
      <c r="N83" s="38">
        <f t="shared" si="7"/>
        <v>-351000</v>
      </c>
      <c r="O83" s="38">
        <f t="shared" si="8"/>
        <v>-290000</v>
      </c>
    </row>
    <row r="84" spans="1:15" ht="15.75" hidden="1" x14ac:dyDescent="0.25">
      <c r="A84" s="32" t="s">
        <v>79</v>
      </c>
      <c r="B84" s="32" t="s">
        <v>418</v>
      </c>
      <c r="C84" s="33" t="s">
        <v>284</v>
      </c>
      <c r="D84" s="34">
        <v>45839</v>
      </c>
      <c r="E84" s="35">
        <v>19700</v>
      </c>
      <c r="F84" s="36">
        <v>0</v>
      </c>
      <c r="G84" s="36">
        <v>0</v>
      </c>
      <c r="H84" s="36">
        <v>372000</v>
      </c>
      <c r="I84" s="36">
        <v>361000</v>
      </c>
      <c r="J84" s="36">
        <v>276000</v>
      </c>
      <c r="K84" s="38">
        <f t="shared" si="9"/>
        <v>0</v>
      </c>
      <c r="L84" s="38">
        <f t="shared" si="5"/>
        <v>0</v>
      </c>
      <c r="M84" s="38">
        <f t="shared" si="6"/>
        <v>-362000</v>
      </c>
      <c r="N84" s="38">
        <f t="shared" si="7"/>
        <v>-351000</v>
      </c>
      <c r="O84" s="38">
        <f t="shared" si="8"/>
        <v>-268000</v>
      </c>
    </row>
    <row r="85" spans="1:15" ht="15.75" hidden="1" x14ac:dyDescent="0.25">
      <c r="A85" s="32" t="s">
        <v>83</v>
      </c>
      <c r="B85" s="32" t="s">
        <v>84</v>
      </c>
      <c r="C85" s="33" t="s">
        <v>284</v>
      </c>
      <c r="D85" s="34">
        <v>45839</v>
      </c>
      <c r="E85" s="35">
        <v>19700</v>
      </c>
      <c r="F85" s="36">
        <v>0</v>
      </c>
      <c r="G85" s="36">
        <v>0</v>
      </c>
      <c r="H85" s="36">
        <v>955000</v>
      </c>
      <c r="I85" s="36">
        <v>849000</v>
      </c>
      <c r="J85" s="36">
        <v>743000</v>
      </c>
      <c r="K85" s="38">
        <f t="shared" si="9"/>
        <v>0</v>
      </c>
      <c r="L85" s="38">
        <f t="shared" si="5"/>
        <v>0</v>
      </c>
      <c r="M85" s="38">
        <f t="shared" si="6"/>
        <v>-929000</v>
      </c>
      <c r="N85" s="38">
        <f t="shared" si="7"/>
        <v>-826000</v>
      </c>
      <c r="O85" s="38">
        <f t="shared" si="8"/>
        <v>-723000</v>
      </c>
    </row>
    <row r="86" spans="1:15" ht="15.75" hidden="1" x14ac:dyDescent="0.25">
      <c r="A86" s="32" t="s">
        <v>83</v>
      </c>
      <c r="B86" s="32" t="s">
        <v>297</v>
      </c>
      <c r="C86" s="33" t="s">
        <v>284</v>
      </c>
      <c r="D86" s="34">
        <v>45839</v>
      </c>
      <c r="E86" s="35">
        <v>19700</v>
      </c>
      <c r="F86" s="36">
        <v>0</v>
      </c>
      <c r="G86" s="36">
        <v>0</v>
      </c>
      <c r="H86" s="36">
        <v>1062000</v>
      </c>
      <c r="I86" s="36">
        <v>997000</v>
      </c>
      <c r="J86" s="36">
        <v>869000</v>
      </c>
      <c r="K86" s="38">
        <f t="shared" si="9"/>
        <v>0</v>
      </c>
      <c r="L86" s="38">
        <f t="shared" si="5"/>
        <v>0</v>
      </c>
      <c r="M86" s="38">
        <f t="shared" si="6"/>
        <v>-1033000</v>
      </c>
      <c r="N86" s="38">
        <f t="shared" si="7"/>
        <v>-970000</v>
      </c>
      <c r="O86" s="38">
        <f t="shared" si="8"/>
        <v>-845000</v>
      </c>
    </row>
    <row r="87" spans="1:15" ht="15.75" hidden="1" x14ac:dyDescent="0.25">
      <c r="A87" s="32" t="s">
        <v>83</v>
      </c>
      <c r="B87" s="32" t="s">
        <v>298</v>
      </c>
      <c r="C87" s="33" t="s">
        <v>284</v>
      </c>
      <c r="D87" s="34">
        <v>45839</v>
      </c>
      <c r="E87" s="35">
        <v>19700</v>
      </c>
      <c r="F87" s="36">
        <v>0</v>
      </c>
      <c r="G87" s="36">
        <v>0</v>
      </c>
      <c r="H87" s="36">
        <v>1062000</v>
      </c>
      <c r="I87" s="36">
        <v>997000</v>
      </c>
      <c r="J87" s="36">
        <v>869000</v>
      </c>
      <c r="K87" s="38">
        <f t="shared" si="9"/>
        <v>0</v>
      </c>
      <c r="L87" s="38">
        <f t="shared" si="5"/>
        <v>0</v>
      </c>
      <c r="M87" s="38">
        <f t="shared" si="6"/>
        <v>-1033000</v>
      </c>
      <c r="N87" s="38">
        <f t="shared" si="7"/>
        <v>-970000</v>
      </c>
      <c r="O87" s="38">
        <f t="shared" si="8"/>
        <v>-845000</v>
      </c>
    </row>
    <row r="88" spans="1:15" ht="15.75" hidden="1" x14ac:dyDescent="0.25">
      <c r="A88" s="32" t="s">
        <v>83</v>
      </c>
      <c r="B88" s="32" t="s">
        <v>85</v>
      </c>
      <c r="C88" s="33" t="s">
        <v>284</v>
      </c>
      <c r="D88" s="34">
        <v>45839</v>
      </c>
      <c r="E88" s="35">
        <v>19700</v>
      </c>
      <c r="F88" s="36">
        <v>0</v>
      </c>
      <c r="G88" s="36">
        <v>0</v>
      </c>
      <c r="H88" s="36">
        <v>881000</v>
      </c>
      <c r="I88" s="36">
        <v>827000</v>
      </c>
      <c r="J88" s="36">
        <v>764000</v>
      </c>
      <c r="K88" s="38">
        <f t="shared" si="9"/>
        <v>0</v>
      </c>
      <c r="L88" s="38">
        <f t="shared" si="5"/>
        <v>0</v>
      </c>
      <c r="M88" s="38">
        <f t="shared" si="6"/>
        <v>-857000</v>
      </c>
      <c r="N88" s="38">
        <f t="shared" si="7"/>
        <v>-804000</v>
      </c>
      <c r="O88" s="38">
        <f t="shared" si="8"/>
        <v>-743000</v>
      </c>
    </row>
    <row r="89" spans="1:15" ht="15.75" hidden="1" x14ac:dyDescent="0.25">
      <c r="A89" s="32" t="s">
        <v>83</v>
      </c>
      <c r="B89" s="32" t="s">
        <v>31</v>
      </c>
      <c r="C89" s="33" t="s">
        <v>284</v>
      </c>
      <c r="D89" s="34">
        <v>45839</v>
      </c>
      <c r="E89" s="35">
        <v>19700</v>
      </c>
      <c r="F89" s="36">
        <v>0</v>
      </c>
      <c r="G89" s="36">
        <v>0</v>
      </c>
      <c r="H89" s="36">
        <v>1009000</v>
      </c>
      <c r="I89" s="36">
        <v>955000</v>
      </c>
      <c r="J89" s="36">
        <v>849000</v>
      </c>
      <c r="K89" s="38">
        <f t="shared" si="9"/>
        <v>0</v>
      </c>
      <c r="L89" s="38">
        <f t="shared" si="5"/>
        <v>0</v>
      </c>
      <c r="M89" s="38">
        <f t="shared" si="6"/>
        <v>-981000</v>
      </c>
      <c r="N89" s="38">
        <f t="shared" si="7"/>
        <v>-929000</v>
      </c>
      <c r="O89" s="38">
        <f t="shared" si="8"/>
        <v>-826000</v>
      </c>
    </row>
    <row r="90" spans="1:15" ht="15.75" hidden="1" x14ac:dyDescent="0.25">
      <c r="A90" s="32" t="s">
        <v>83</v>
      </c>
      <c r="B90" s="32" t="s">
        <v>299</v>
      </c>
      <c r="C90" s="33" t="s">
        <v>284</v>
      </c>
      <c r="D90" s="34">
        <v>45839</v>
      </c>
      <c r="E90" s="35">
        <v>19700</v>
      </c>
      <c r="F90" s="36">
        <v>0</v>
      </c>
      <c r="G90" s="36">
        <v>0</v>
      </c>
      <c r="H90" s="36">
        <v>1062000</v>
      </c>
      <c r="I90" s="36">
        <v>997000</v>
      </c>
      <c r="J90" s="36">
        <v>869000</v>
      </c>
      <c r="K90" s="38">
        <f t="shared" si="9"/>
        <v>0</v>
      </c>
      <c r="L90" s="38">
        <f t="shared" si="5"/>
        <v>0</v>
      </c>
      <c r="M90" s="38">
        <f t="shared" si="6"/>
        <v>-1033000</v>
      </c>
      <c r="N90" s="38">
        <f t="shared" si="7"/>
        <v>-970000</v>
      </c>
      <c r="O90" s="38">
        <f t="shared" si="8"/>
        <v>-845000</v>
      </c>
    </row>
    <row r="91" spans="1:15" ht="15.75" hidden="1" x14ac:dyDescent="0.25">
      <c r="A91" s="32" t="s">
        <v>83</v>
      </c>
      <c r="B91" s="32" t="s">
        <v>86</v>
      </c>
      <c r="C91" s="33" t="s">
        <v>284</v>
      </c>
      <c r="D91" s="34">
        <v>45839</v>
      </c>
      <c r="E91" s="35">
        <v>19700</v>
      </c>
      <c r="F91" s="36">
        <v>0</v>
      </c>
      <c r="G91" s="36">
        <v>0</v>
      </c>
      <c r="H91" s="36">
        <v>881000</v>
      </c>
      <c r="I91" s="36">
        <v>827000</v>
      </c>
      <c r="J91" s="36">
        <v>764000</v>
      </c>
      <c r="K91" s="38">
        <f t="shared" si="9"/>
        <v>0</v>
      </c>
      <c r="L91" s="38">
        <f t="shared" si="5"/>
        <v>0</v>
      </c>
      <c r="M91" s="38">
        <f t="shared" si="6"/>
        <v>-857000</v>
      </c>
      <c r="N91" s="38">
        <f t="shared" si="7"/>
        <v>-804000</v>
      </c>
      <c r="O91" s="38">
        <f t="shared" si="8"/>
        <v>-743000</v>
      </c>
    </row>
    <row r="92" spans="1:15" ht="15.75" hidden="1" x14ac:dyDescent="0.25">
      <c r="A92" s="32" t="s">
        <v>83</v>
      </c>
      <c r="B92" s="32" t="s">
        <v>357</v>
      </c>
      <c r="C92" s="33" t="s">
        <v>284</v>
      </c>
      <c r="D92" s="34">
        <v>45839</v>
      </c>
      <c r="E92" s="35">
        <v>19700</v>
      </c>
      <c r="F92" s="36">
        <v>0</v>
      </c>
      <c r="G92" s="36">
        <v>0</v>
      </c>
      <c r="H92" s="36">
        <v>902000</v>
      </c>
      <c r="I92" s="36">
        <v>818000</v>
      </c>
      <c r="J92" s="36">
        <v>743000</v>
      </c>
      <c r="K92" s="38">
        <f t="shared" si="9"/>
        <v>0</v>
      </c>
      <c r="L92" s="38">
        <f t="shared" si="5"/>
        <v>0</v>
      </c>
      <c r="M92" s="38">
        <f t="shared" si="6"/>
        <v>-877000</v>
      </c>
      <c r="N92" s="38">
        <f t="shared" si="7"/>
        <v>-796000</v>
      </c>
      <c r="O92" s="38">
        <f t="shared" si="8"/>
        <v>-723000</v>
      </c>
    </row>
    <row r="93" spans="1:15" ht="15.75" hidden="1" x14ac:dyDescent="0.25">
      <c r="A93" s="32" t="s">
        <v>83</v>
      </c>
      <c r="B93" s="32" t="s">
        <v>358</v>
      </c>
      <c r="C93" s="33" t="s">
        <v>284</v>
      </c>
      <c r="D93" s="34">
        <v>45839</v>
      </c>
      <c r="E93" s="35">
        <v>19700</v>
      </c>
      <c r="F93" s="36">
        <v>0</v>
      </c>
      <c r="G93" s="36">
        <v>0</v>
      </c>
      <c r="H93" s="36">
        <v>902000</v>
      </c>
      <c r="I93" s="36">
        <v>818000</v>
      </c>
      <c r="J93" s="36">
        <v>743000</v>
      </c>
      <c r="K93" s="38">
        <f t="shared" si="9"/>
        <v>0</v>
      </c>
      <c r="L93" s="38">
        <f t="shared" si="5"/>
        <v>0</v>
      </c>
      <c r="M93" s="38">
        <f t="shared" si="6"/>
        <v>-877000</v>
      </c>
      <c r="N93" s="38">
        <f t="shared" si="7"/>
        <v>-796000</v>
      </c>
      <c r="O93" s="38">
        <f t="shared" si="8"/>
        <v>-723000</v>
      </c>
    </row>
    <row r="94" spans="1:15" ht="15.75" hidden="1" x14ac:dyDescent="0.25">
      <c r="A94" s="32" t="s">
        <v>83</v>
      </c>
      <c r="B94" s="32" t="s">
        <v>87</v>
      </c>
      <c r="C94" s="33" t="s">
        <v>284</v>
      </c>
      <c r="D94" s="34">
        <v>45839</v>
      </c>
      <c r="E94" s="35">
        <v>19700</v>
      </c>
      <c r="F94" s="36">
        <v>0</v>
      </c>
      <c r="G94" s="36">
        <v>0</v>
      </c>
      <c r="H94" s="36">
        <v>881000</v>
      </c>
      <c r="I94" s="36">
        <v>827000</v>
      </c>
      <c r="J94" s="36">
        <v>764000</v>
      </c>
      <c r="K94" s="38">
        <f t="shared" si="9"/>
        <v>0</v>
      </c>
      <c r="L94" s="38">
        <f t="shared" si="5"/>
        <v>0</v>
      </c>
      <c r="M94" s="38">
        <f t="shared" si="6"/>
        <v>-857000</v>
      </c>
      <c r="N94" s="38">
        <f t="shared" si="7"/>
        <v>-804000</v>
      </c>
      <c r="O94" s="38">
        <f t="shared" si="8"/>
        <v>-743000</v>
      </c>
    </row>
    <row r="95" spans="1:15" ht="15.75" hidden="1" x14ac:dyDescent="0.25">
      <c r="A95" s="32" t="s">
        <v>83</v>
      </c>
      <c r="B95" s="32" t="s">
        <v>88</v>
      </c>
      <c r="C95" s="33" t="s">
        <v>284</v>
      </c>
      <c r="D95" s="34">
        <v>45839</v>
      </c>
      <c r="E95" s="35">
        <v>19700</v>
      </c>
      <c r="F95" s="36">
        <v>0</v>
      </c>
      <c r="G95" s="36">
        <v>0</v>
      </c>
      <c r="H95" s="36">
        <v>902000</v>
      </c>
      <c r="I95" s="36">
        <v>818000</v>
      </c>
      <c r="J95" s="36">
        <v>743000</v>
      </c>
      <c r="K95" s="38">
        <f t="shared" si="9"/>
        <v>0</v>
      </c>
      <c r="L95" s="38">
        <f t="shared" si="5"/>
        <v>0</v>
      </c>
      <c r="M95" s="38">
        <f t="shared" si="6"/>
        <v>-877000</v>
      </c>
      <c r="N95" s="38">
        <f t="shared" si="7"/>
        <v>-796000</v>
      </c>
      <c r="O95" s="38">
        <f t="shared" si="8"/>
        <v>-723000</v>
      </c>
    </row>
    <row r="96" spans="1:15" ht="15.75" hidden="1" x14ac:dyDescent="0.25">
      <c r="A96" s="32" t="s">
        <v>83</v>
      </c>
      <c r="B96" s="32" t="s">
        <v>48</v>
      </c>
      <c r="C96" s="33" t="s">
        <v>284</v>
      </c>
      <c r="D96" s="34">
        <v>45839</v>
      </c>
      <c r="E96" s="35">
        <v>19700</v>
      </c>
      <c r="F96" s="36">
        <v>0</v>
      </c>
      <c r="G96" s="36">
        <v>0</v>
      </c>
      <c r="H96" s="36">
        <v>1009000</v>
      </c>
      <c r="I96" s="36">
        <v>955000</v>
      </c>
      <c r="J96" s="36">
        <v>849000</v>
      </c>
      <c r="K96" s="38">
        <f t="shared" si="9"/>
        <v>0</v>
      </c>
      <c r="L96" s="38">
        <f t="shared" si="5"/>
        <v>0</v>
      </c>
      <c r="M96" s="38">
        <f t="shared" si="6"/>
        <v>-981000</v>
      </c>
      <c r="N96" s="38">
        <f t="shared" si="7"/>
        <v>-929000</v>
      </c>
      <c r="O96" s="38">
        <f t="shared" si="8"/>
        <v>-826000</v>
      </c>
    </row>
    <row r="97" spans="1:15" ht="15.75" hidden="1" x14ac:dyDescent="0.25">
      <c r="A97" s="32" t="s">
        <v>83</v>
      </c>
      <c r="B97" s="32" t="s">
        <v>300</v>
      </c>
      <c r="C97" s="33" t="s">
        <v>284</v>
      </c>
      <c r="D97" s="34">
        <v>45839</v>
      </c>
      <c r="E97" s="35">
        <v>19700</v>
      </c>
      <c r="F97" s="36">
        <v>0</v>
      </c>
      <c r="G97" s="36">
        <v>0</v>
      </c>
      <c r="H97" s="36">
        <v>1009000</v>
      </c>
      <c r="I97" s="36">
        <v>955000</v>
      </c>
      <c r="J97" s="36">
        <v>849000</v>
      </c>
      <c r="K97" s="38">
        <f t="shared" si="9"/>
        <v>0</v>
      </c>
      <c r="L97" s="38">
        <f t="shared" si="5"/>
        <v>0</v>
      </c>
      <c r="M97" s="38">
        <f t="shared" si="6"/>
        <v>-981000</v>
      </c>
      <c r="N97" s="38">
        <f t="shared" si="7"/>
        <v>-929000</v>
      </c>
      <c r="O97" s="38">
        <f t="shared" si="8"/>
        <v>-826000</v>
      </c>
    </row>
    <row r="98" spans="1:15" ht="15.75" hidden="1" x14ac:dyDescent="0.25">
      <c r="A98" s="32" t="s">
        <v>83</v>
      </c>
      <c r="B98" s="32" t="s">
        <v>301</v>
      </c>
      <c r="C98" s="33" t="s">
        <v>284</v>
      </c>
      <c r="D98" s="34">
        <v>45839</v>
      </c>
      <c r="E98" s="35">
        <v>19700</v>
      </c>
      <c r="F98" s="36">
        <v>0</v>
      </c>
      <c r="G98" s="36">
        <v>0</v>
      </c>
      <c r="H98" s="36">
        <v>1009000</v>
      </c>
      <c r="I98" s="36">
        <v>955000</v>
      </c>
      <c r="J98" s="36">
        <v>849000</v>
      </c>
      <c r="K98" s="38">
        <f t="shared" si="9"/>
        <v>0</v>
      </c>
      <c r="L98" s="38">
        <f t="shared" si="5"/>
        <v>0</v>
      </c>
      <c r="M98" s="38">
        <f t="shared" si="6"/>
        <v>-981000</v>
      </c>
      <c r="N98" s="38">
        <f t="shared" si="7"/>
        <v>-929000</v>
      </c>
      <c r="O98" s="38">
        <f t="shared" si="8"/>
        <v>-826000</v>
      </c>
    </row>
    <row r="99" spans="1:15" ht="15.75" hidden="1" x14ac:dyDescent="0.25">
      <c r="A99" s="32" t="s">
        <v>83</v>
      </c>
      <c r="B99" s="32" t="s">
        <v>302</v>
      </c>
      <c r="C99" s="33" t="s">
        <v>284</v>
      </c>
      <c r="D99" s="34">
        <v>45839</v>
      </c>
      <c r="E99" s="35">
        <v>19700</v>
      </c>
      <c r="F99" s="36">
        <v>0</v>
      </c>
      <c r="G99" s="36">
        <v>0</v>
      </c>
      <c r="H99" s="36">
        <v>1009000</v>
      </c>
      <c r="I99" s="36">
        <v>955000</v>
      </c>
      <c r="J99" s="36">
        <v>849000</v>
      </c>
      <c r="K99" s="38">
        <f t="shared" si="9"/>
        <v>0</v>
      </c>
      <c r="L99" s="38">
        <f t="shared" si="5"/>
        <v>0</v>
      </c>
      <c r="M99" s="38">
        <f t="shared" si="6"/>
        <v>-981000</v>
      </c>
      <c r="N99" s="38">
        <f t="shared" si="7"/>
        <v>-929000</v>
      </c>
      <c r="O99" s="38">
        <f t="shared" si="8"/>
        <v>-826000</v>
      </c>
    </row>
    <row r="100" spans="1:15" ht="15.75" hidden="1" x14ac:dyDescent="0.25">
      <c r="A100" s="32" t="s">
        <v>30</v>
      </c>
      <c r="B100" s="32" t="s">
        <v>284</v>
      </c>
      <c r="C100" s="33" t="s">
        <v>284</v>
      </c>
      <c r="D100" s="34">
        <v>45839</v>
      </c>
      <c r="E100" s="35">
        <v>19700</v>
      </c>
      <c r="F100" s="36">
        <v>933000</v>
      </c>
      <c r="G100" s="36">
        <v>0</v>
      </c>
      <c r="H100" s="36">
        <v>266000</v>
      </c>
      <c r="I100" s="36">
        <v>222000</v>
      </c>
      <c r="J100" s="36">
        <v>213000</v>
      </c>
      <c r="K100" s="38">
        <f t="shared" si="9"/>
        <v>-907000</v>
      </c>
      <c r="L100" s="38">
        <f t="shared" si="5"/>
        <v>0</v>
      </c>
      <c r="M100" s="38">
        <f t="shared" si="6"/>
        <v>-259000</v>
      </c>
      <c r="N100" s="38">
        <f t="shared" si="7"/>
        <v>-216000</v>
      </c>
      <c r="O100" s="38">
        <f t="shared" si="8"/>
        <v>-207000</v>
      </c>
    </row>
    <row r="101" spans="1:15" ht="15.75" hidden="1" x14ac:dyDescent="0.25">
      <c r="A101" s="32" t="s">
        <v>30</v>
      </c>
      <c r="B101" s="32" t="s">
        <v>322</v>
      </c>
      <c r="C101" s="33" t="s">
        <v>284</v>
      </c>
      <c r="D101" s="34">
        <v>45839</v>
      </c>
      <c r="E101" s="35">
        <v>19700</v>
      </c>
      <c r="F101" s="36">
        <v>1167000</v>
      </c>
      <c r="G101" s="36">
        <v>0</v>
      </c>
      <c r="H101" s="36">
        <v>298000</v>
      </c>
      <c r="I101" s="36">
        <v>287000</v>
      </c>
      <c r="J101" s="36">
        <v>276000</v>
      </c>
      <c r="K101" s="38">
        <f t="shared" si="9"/>
        <v>-1135000</v>
      </c>
      <c r="L101" s="38">
        <f t="shared" si="5"/>
        <v>0</v>
      </c>
      <c r="M101" s="38">
        <f t="shared" si="6"/>
        <v>-290000</v>
      </c>
      <c r="N101" s="38">
        <f t="shared" si="7"/>
        <v>-279000</v>
      </c>
      <c r="O101" s="38">
        <f t="shared" si="8"/>
        <v>-268000</v>
      </c>
    </row>
    <row r="102" spans="1:15" ht="15.75" hidden="1" x14ac:dyDescent="0.25">
      <c r="A102" s="32" t="s">
        <v>30</v>
      </c>
      <c r="B102" s="32" t="s">
        <v>46</v>
      </c>
      <c r="C102" s="33" t="s">
        <v>284</v>
      </c>
      <c r="D102" s="34">
        <v>45839</v>
      </c>
      <c r="E102" s="35">
        <v>19700</v>
      </c>
      <c r="F102" s="36">
        <v>0</v>
      </c>
      <c r="G102" s="36">
        <v>0</v>
      </c>
      <c r="H102" s="36">
        <v>350000</v>
      </c>
      <c r="I102" s="36">
        <v>330000</v>
      </c>
      <c r="J102" s="36">
        <v>287000</v>
      </c>
      <c r="K102" s="38">
        <f t="shared" si="9"/>
        <v>0</v>
      </c>
      <c r="L102" s="38">
        <f t="shared" si="5"/>
        <v>0</v>
      </c>
      <c r="M102" s="38">
        <f t="shared" si="6"/>
        <v>-340000</v>
      </c>
      <c r="N102" s="38">
        <f t="shared" si="7"/>
        <v>-321000</v>
      </c>
      <c r="O102" s="38">
        <f t="shared" si="8"/>
        <v>-279000</v>
      </c>
    </row>
    <row r="103" spans="1:15" ht="15.75" hidden="1" x14ac:dyDescent="0.25">
      <c r="A103" s="32" t="s">
        <v>30</v>
      </c>
      <c r="B103" s="32" t="s">
        <v>303</v>
      </c>
      <c r="C103" s="33" t="s">
        <v>284</v>
      </c>
      <c r="D103" s="34">
        <v>45839</v>
      </c>
      <c r="E103" s="35">
        <v>19700</v>
      </c>
      <c r="F103" s="36">
        <v>1380000</v>
      </c>
      <c r="G103" s="36">
        <v>0</v>
      </c>
      <c r="H103" s="36">
        <v>340000</v>
      </c>
      <c r="I103" s="36">
        <v>330000</v>
      </c>
      <c r="J103" s="36">
        <v>318000</v>
      </c>
      <c r="K103" s="38">
        <f t="shared" si="9"/>
        <v>-1342000</v>
      </c>
      <c r="L103" s="38">
        <f t="shared" si="5"/>
        <v>0</v>
      </c>
      <c r="M103" s="38">
        <f t="shared" si="6"/>
        <v>-331000</v>
      </c>
      <c r="N103" s="38">
        <f t="shared" si="7"/>
        <v>-321000</v>
      </c>
      <c r="O103" s="38">
        <f t="shared" si="8"/>
        <v>-309000</v>
      </c>
    </row>
    <row r="104" spans="1:15" ht="15.75" hidden="1" x14ac:dyDescent="0.25">
      <c r="A104" s="32" t="s">
        <v>30</v>
      </c>
      <c r="B104" s="32" t="s">
        <v>50</v>
      </c>
      <c r="C104" s="33" t="s">
        <v>284</v>
      </c>
      <c r="D104" s="34">
        <v>45839</v>
      </c>
      <c r="E104" s="35">
        <v>19700</v>
      </c>
      <c r="F104" s="36">
        <v>0</v>
      </c>
      <c r="G104" s="36">
        <v>0</v>
      </c>
      <c r="H104" s="36">
        <v>361000</v>
      </c>
      <c r="I104" s="36">
        <v>350000</v>
      </c>
      <c r="J104" s="36">
        <v>340000</v>
      </c>
      <c r="K104" s="38">
        <f t="shared" si="9"/>
        <v>0</v>
      </c>
      <c r="L104" s="38">
        <f t="shared" si="5"/>
        <v>0</v>
      </c>
      <c r="M104" s="38">
        <f t="shared" si="6"/>
        <v>-351000</v>
      </c>
      <c r="N104" s="38">
        <f t="shared" si="7"/>
        <v>-340000</v>
      </c>
      <c r="O104" s="38">
        <f t="shared" si="8"/>
        <v>-331000</v>
      </c>
    </row>
    <row r="105" spans="1:15" ht="15.75" hidden="1" x14ac:dyDescent="0.25">
      <c r="A105" s="32" t="s">
        <v>30</v>
      </c>
      <c r="B105" s="32" t="s">
        <v>51</v>
      </c>
      <c r="C105" s="33" t="s">
        <v>284</v>
      </c>
      <c r="D105" s="34">
        <v>45839</v>
      </c>
      <c r="E105" s="35">
        <v>19700</v>
      </c>
      <c r="F105" s="36">
        <v>1380000</v>
      </c>
      <c r="G105" s="36">
        <v>0</v>
      </c>
      <c r="H105" s="36">
        <v>340000</v>
      </c>
      <c r="I105" s="36">
        <v>330000</v>
      </c>
      <c r="J105" s="36">
        <v>318000</v>
      </c>
      <c r="K105" s="38">
        <f t="shared" si="9"/>
        <v>-1342000</v>
      </c>
      <c r="L105" s="38">
        <f t="shared" si="5"/>
        <v>0</v>
      </c>
      <c r="M105" s="38">
        <f t="shared" si="6"/>
        <v>-331000</v>
      </c>
      <c r="N105" s="38">
        <f t="shared" si="7"/>
        <v>-321000</v>
      </c>
      <c r="O105" s="38">
        <f t="shared" si="8"/>
        <v>-309000</v>
      </c>
    </row>
    <row r="106" spans="1:15" ht="15.75" hidden="1" x14ac:dyDescent="0.25">
      <c r="A106" s="32" t="s">
        <v>30</v>
      </c>
      <c r="B106" s="32" t="s">
        <v>49</v>
      </c>
      <c r="C106" s="33" t="s">
        <v>284</v>
      </c>
      <c r="D106" s="34">
        <v>45839</v>
      </c>
      <c r="E106" s="35">
        <v>19700</v>
      </c>
      <c r="F106" s="36">
        <v>1167000</v>
      </c>
      <c r="G106" s="36">
        <v>0</v>
      </c>
      <c r="H106" s="36">
        <v>298000</v>
      </c>
      <c r="I106" s="36">
        <v>287000</v>
      </c>
      <c r="J106" s="36">
        <v>276000</v>
      </c>
      <c r="K106" s="38">
        <f t="shared" si="9"/>
        <v>-1135000</v>
      </c>
      <c r="L106" s="38">
        <f t="shared" si="5"/>
        <v>0</v>
      </c>
      <c r="M106" s="38">
        <f t="shared" si="6"/>
        <v>-290000</v>
      </c>
      <c r="N106" s="38">
        <f t="shared" si="7"/>
        <v>-279000</v>
      </c>
      <c r="O106" s="38">
        <f t="shared" si="8"/>
        <v>-268000</v>
      </c>
    </row>
    <row r="107" spans="1:15" ht="15.75" hidden="1" x14ac:dyDescent="0.25">
      <c r="A107" s="32" t="s">
        <v>30</v>
      </c>
      <c r="B107" s="32" t="s">
        <v>321</v>
      </c>
      <c r="C107" s="33" t="s">
        <v>284</v>
      </c>
      <c r="D107" s="34">
        <v>45839</v>
      </c>
      <c r="E107" s="35">
        <v>19700</v>
      </c>
      <c r="F107" s="36">
        <v>1167000</v>
      </c>
      <c r="G107" s="36">
        <v>0</v>
      </c>
      <c r="H107" s="36">
        <v>298000</v>
      </c>
      <c r="I107" s="36">
        <v>287000</v>
      </c>
      <c r="J107" s="36">
        <v>276000</v>
      </c>
      <c r="K107" s="38">
        <f t="shared" si="9"/>
        <v>-1135000</v>
      </c>
      <c r="L107" s="38">
        <f t="shared" si="5"/>
        <v>0</v>
      </c>
      <c r="M107" s="38">
        <f t="shared" si="6"/>
        <v>-290000</v>
      </c>
      <c r="N107" s="38">
        <f t="shared" si="7"/>
        <v>-279000</v>
      </c>
      <c r="O107" s="38">
        <f t="shared" si="8"/>
        <v>-268000</v>
      </c>
    </row>
    <row r="108" spans="1:15" ht="15.75" hidden="1" x14ac:dyDescent="0.25">
      <c r="A108" s="32" t="s">
        <v>30</v>
      </c>
      <c r="B108" s="32" t="s">
        <v>364</v>
      </c>
      <c r="C108" s="33" t="s">
        <v>284</v>
      </c>
      <c r="D108" s="34">
        <v>45839</v>
      </c>
      <c r="E108" s="35">
        <v>19700</v>
      </c>
      <c r="F108" s="36">
        <v>1167000</v>
      </c>
      <c r="G108" s="36">
        <v>0</v>
      </c>
      <c r="H108" s="36">
        <v>350000</v>
      </c>
      <c r="I108" s="36">
        <v>287000</v>
      </c>
      <c r="J108" s="36">
        <v>287000</v>
      </c>
      <c r="K108" s="38">
        <f t="shared" si="9"/>
        <v>-1135000</v>
      </c>
      <c r="L108" s="38">
        <f t="shared" si="5"/>
        <v>0</v>
      </c>
      <c r="M108" s="38">
        <f t="shared" si="6"/>
        <v>-340000</v>
      </c>
      <c r="N108" s="38">
        <f t="shared" si="7"/>
        <v>-279000</v>
      </c>
      <c r="O108" s="38">
        <f t="shared" si="8"/>
        <v>-279000</v>
      </c>
    </row>
    <row r="109" spans="1:15" ht="15.75" hidden="1" x14ac:dyDescent="0.25">
      <c r="A109" s="32" t="s">
        <v>30</v>
      </c>
      <c r="B109" s="32" t="s">
        <v>314</v>
      </c>
      <c r="C109" s="33" t="s">
        <v>284</v>
      </c>
      <c r="D109" s="34">
        <v>45839</v>
      </c>
      <c r="E109" s="35">
        <v>19700</v>
      </c>
      <c r="F109" s="36">
        <v>1167000</v>
      </c>
      <c r="G109" s="36">
        <v>0</v>
      </c>
      <c r="H109" s="36">
        <v>298000</v>
      </c>
      <c r="I109" s="36">
        <v>287000</v>
      </c>
      <c r="J109" s="36">
        <v>276000</v>
      </c>
      <c r="K109" s="38">
        <f t="shared" si="9"/>
        <v>-1135000</v>
      </c>
      <c r="L109" s="38">
        <f t="shared" si="5"/>
        <v>0</v>
      </c>
      <c r="M109" s="38">
        <f t="shared" si="6"/>
        <v>-290000</v>
      </c>
      <c r="N109" s="38">
        <f t="shared" si="7"/>
        <v>-279000</v>
      </c>
      <c r="O109" s="38">
        <f t="shared" si="8"/>
        <v>-268000</v>
      </c>
    </row>
    <row r="110" spans="1:15" ht="15.75" hidden="1" x14ac:dyDescent="0.25">
      <c r="A110" s="32" t="s">
        <v>30</v>
      </c>
      <c r="B110" s="32" t="s">
        <v>285</v>
      </c>
      <c r="C110" s="33" t="s">
        <v>284</v>
      </c>
      <c r="D110" s="34">
        <v>45839</v>
      </c>
      <c r="E110" s="35">
        <v>19700</v>
      </c>
      <c r="F110" s="36">
        <v>0</v>
      </c>
      <c r="G110" s="36">
        <v>0</v>
      </c>
      <c r="H110" s="36">
        <v>350000</v>
      </c>
      <c r="I110" s="36">
        <v>330000</v>
      </c>
      <c r="J110" s="36">
        <v>287000</v>
      </c>
      <c r="K110" s="38">
        <f t="shared" si="9"/>
        <v>0</v>
      </c>
      <c r="L110" s="38">
        <f t="shared" si="5"/>
        <v>0</v>
      </c>
      <c r="M110" s="38">
        <f t="shared" si="6"/>
        <v>-340000</v>
      </c>
      <c r="N110" s="38">
        <f t="shared" si="7"/>
        <v>-321000</v>
      </c>
      <c r="O110" s="38">
        <f t="shared" si="8"/>
        <v>-279000</v>
      </c>
    </row>
    <row r="111" spans="1:15" ht="15.75" hidden="1" x14ac:dyDescent="0.25">
      <c r="A111" s="32" t="s">
        <v>30</v>
      </c>
      <c r="B111" s="32" t="s">
        <v>89</v>
      </c>
      <c r="C111" s="33" t="s">
        <v>284</v>
      </c>
      <c r="D111" s="34">
        <v>45839</v>
      </c>
      <c r="E111" s="35">
        <v>19700</v>
      </c>
      <c r="F111" s="36">
        <v>1167000</v>
      </c>
      <c r="G111" s="36">
        <v>0</v>
      </c>
      <c r="H111" s="36">
        <v>350000</v>
      </c>
      <c r="I111" s="36">
        <v>287000</v>
      </c>
      <c r="J111" s="36">
        <v>287000</v>
      </c>
      <c r="K111" s="38">
        <f t="shared" si="9"/>
        <v>-1135000</v>
      </c>
      <c r="L111" s="38">
        <f t="shared" si="5"/>
        <v>0</v>
      </c>
      <c r="M111" s="38">
        <f t="shared" si="6"/>
        <v>-340000</v>
      </c>
      <c r="N111" s="38">
        <f t="shared" si="7"/>
        <v>-279000</v>
      </c>
      <c r="O111" s="38">
        <f t="shared" si="8"/>
        <v>-279000</v>
      </c>
    </row>
    <row r="112" spans="1:15" ht="31.5" hidden="1" x14ac:dyDescent="0.25">
      <c r="A112" s="32" t="s">
        <v>30</v>
      </c>
      <c r="B112" s="32" t="s">
        <v>365</v>
      </c>
      <c r="C112" s="33" t="s">
        <v>366</v>
      </c>
      <c r="D112" s="34">
        <v>45839</v>
      </c>
      <c r="E112" s="35">
        <v>19700</v>
      </c>
      <c r="F112" s="36">
        <v>0</v>
      </c>
      <c r="G112" s="36">
        <v>0</v>
      </c>
      <c r="H112" s="36">
        <v>318000</v>
      </c>
      <c r="I112" s="36">
        <v>298000</v>
      </c>
      <c r="J112" s="36">
        <v>298000</v>
      </c>
      <c r="K112" s="38">
        <f t="shared" si="9"/>
        <v>0</v>
      </c>
      <c r="L112" s="38">
        <f t="shared" si="5"/>
        <v>0</v>
      </c>
      <c r="M112" s="38">
        <f t="shared" si="6"/>
        <v>-309000</v>
      </c>
      <c r="N112" s="38">
        <f t="shared" si="7"/>
        <v>-290000</v>
      </c>
      <c r="O112" s="38">
        <f t="shared" si="8"/>
        <v>-290000</v>
      </c>
    </row>
    <row r="113" spans="1:15" ht="15.75" hidden="1" x14ac:dyDescent="0.25">
      <c r="A113" s="32" t="s">
        <v>30</v>
      </c>
      <c r="B113" s="32" t="s">
        <v>52</v>
      </c>
      <c r="C113" s="33" t="s">
        <v>284</v>
      </c>
      <c r="D113" s="34">
        <v>45839</v>
      </c>
      <c r="E113" s="35">
        <v>19700</v>
      </c>
      <c r="F113" s="36">
        <v>0</v>
      </c>
      <c r="G113" s="36">
        <v>0</v>
      </c>
      <c r="H113" s="36">
        <v>361000</v>
      </c>
      <c r="I113" s="36">
        <v>350000</v>
      </c>
      <c r="J113" s="36">
        <v>340000</v>
      </c>
      <c r="K113" s="38">
        <f t="shared" si="9"/>
        <v>0</v>
      </c>
      <c r="L113" s="38">
        <f t="shared" si="5"/>
        <v>0</v>
      </c>
      <c r="M113" s="38">
        <f t="shared" si="6"/>
        <v>-351000</v>
      </c>
      <c r="N113" s="38">
        <f t="shared" si="7"/>
        <v>-340000</v>
      </c>
      <c r="O113" s="38">
        <f t="shared" si="8"/>
        <v>-331000</v>
      </c>
    </row>
    <row r="114" spans="1:15" ht="15.75" hidden="1" x14ac:dyDescent="0.25">
      <c r="A114" s="32" t="s">
        <v>30</v>
      </c>
      <c r="B114" s="32" t="s">
        <v>53</v>
      </c>
      <c r="C114" s="33" t="s">
        <v>284</v>
      </c>
      <c r="D114" s="34">
        <v>45839</v>
      </c>
      <c r="E114" s="35">
        <v>19700</v>
      </c>
      <c r="F114" s="36">
        <v>1167000</v>
      </c>
      <c r="G114" s="36">
        <v>0</v>
      </c>
      <c r="H114" s="36">
        <v>298000</v>
      </c>
      <c r="I114" s="36">
        <v>287000</v>
      </c>
      <c r="J114" s="36">
        <v>276000</v>
      </c>
      <c r="K114" s="38">
        <f t="shared" si="9"/>
        <v>-1135000</v>
      </c>
      <c r="L114" s="38">
        <f t="shared" si="5"/>
        <v>0</v>
      </c>
      <c r="M114" s="38">
        <f t="shared" si="6"/>
        <v>-290000</v>
      </c>
      <c r="N114" s="38">
        <f t="shared" si="7"/>
        <v>-279000</v>
      </c>
      <c r="O114" s="38">
        <f t="shared" si="8"/>
        <v>-268000</v>
      </c>
    </row>
    <row r="115" spans="1:15" ht="15.75" hidden="1" x14ac:dyDescent="0.25">
      <c r="A115" s="32" t="s">
        <v>30</v>
      </c>
      <c r="B115" s="32" t="s">
        <v>315</v>
      </c>
      <c r="C115" s="33" t="s">
        <v>284</v>
      </c>
      <c r="D115" s="34">
        <v>45839</v>
      </c>
      <c r="E115" s="35">
        <v>19700</v>
      </c>
      <c r="F115" s="36">
        <v>1167000</v>
      </c>
      <c r="G115" s="36">
        <v>0</v>
      </c>
      <c r="H115" s="36">
        <v>298000</v>
      </c>
      <c r="I115" s="36">
        <v>287000</v>
      </c>
      <c r="J115" s="36">
        <v>276000</v>
      </c>
      <c r="K115" s="38">
        <f t="shared" si="9"/>
        <v>-1135000</v>
      </c>
      <c r="L115" s="38">
        <f t="shared" si="5"/>
        <v>0</v>
      </c>
      <c r="M115" s="38">
        <f t="shared" si="6"/>
        <v>-290000</v>
      </c>
      <c r="N115" s="38">
        <f t="shared" si="7"/>
        <v>-279000</v>
      </c>
      <c r="O115" s="38">
        <f t="shared" si="8"/>
        <v>-268000</v>
      </c>
    </row>
    <row r="116" spans="1:15" ht="15.75" hidden="1" x14ac:dyDescent="0.25">
      <c r="A116" s="32" t="s">
        <v>30</v>
      </c>
      <c r="B116" s="32" t="s">
        <v>366</v>
      </c>
      <c r="C116" s="33" t="s">
        <v>284</v>
      </c>
      <c r="D116" s="34">
        <v>45839</v>
      </c>
      <c r="E116" s="35">
        <v>19700</v>
      </c>
      <c r="F116" s="36">
        <v>0</v>
      </c>
      <c r="G116" s="36">
        <v>0</v>
      </c>
      <c r="H116" s="36">
        <v>318000</v>
      </c>
      <c r="I116" s="36">
        <v>266000</v>
      </c>
      <c r="J116" s="36">
        <v>254000</v>
      </c>
      <c r="K116" s="38">
        <f t="shared" si="9"/>
        <v>0</v>
      </c>
      <c r="L116" s="38">
        <f t="shared" si="5"/>
        <v>0</v>
      </c>
      <c r="M116" s="38">
        <f t="shared" si="6"/>
        <v>-309000</v>
      </c>
      <c r="N116" s="38">
        <f t="shared" si="7"/>
        <v>-259000</v>
      </c>
      <c r="O116" s="38">
        <f t="shared" si="8"/>
        <v>-247000</v>
      </c>
    </row>
    <row r="117" spans="1:15" ht="15.75" hidden="1" x14ac:dyDescent="0.25">
      <c r="A117" s="32" t="s">
        <v>30</v>
      </c>
      <c r="B117" s="32" t="s">
        <v>286</v>
      </c>
      <c r="C117" s="33" t="s">
        <v>284</v>
      </c>
      <c r="D117" s="34">
        <v>45839</v>
      </c>
      <c r="E117" s="35">
        <v>19700</v>
      </c>
      <c r="F117" s="36">
        <v>0</v>
      </c>
      <c r="G117" s="36">
        <v>0</v>
      </c>
      <c r="H117" s="36">
        <v>350000</v>
      </c>
      <c r="I117" s="36">
        <v>330000</v>
      </c>
      <c r="J117" s="36">
        <v>287000</v>
      </c>
      <c r="K117" s="38">
        <f t="shared" si="9"/>
        <v>0</v>
      </c>
      <c r="L117" s="38">
        <f t="shared" si="5"/>
        <v>0</v>
      </c>
      <c r="M117" s="38">
        <f t="shared" si="6"/>
        <v>-340000</v>
      </c>
      <c r="N117" s="38">
        <f t="shared" si="7"/>
        <v>-321000</v>
      </c>
      <c r="O117" s="38">
        <f t="shared" si="8"/>
        <v>-279000</v>
      </c>
    </row>
    <row r="118" spans="1:15" ht="15.75" hidden="1" x14ac:dyDescent="0.25">
      <c r="A118" s="32" t="s">
        <v>30</v>
      </c>
      <c r="B118" s="32" t="s">
        <v>304</v>
      </c>
      <c r="C118" s="33" t="s">
        <v>284</v>
      </c>
      <c r="D118" s="34">
        <v>45839</v>
      </c>
      <c r="E118" s="35">
        <v>19700</v>
      </c>
      <c r="F118" s="36">
        <v>1380000</v>
      </c>
      <c r="G118" s="36">
        <v>0</v>
      </c>
      <c r="H118" s="36">
        <v>340000</v>
      </c>
      <c r="I118" s="36">
        <v>330000</v>
      </c>
      <c r="J118" s="36">
        <v>318000</v>
      </c>
      <c r="K118" s="38">
        <f t="shared" si="9"/>
        <v>-1342000</v>
      </c>
      <c r="L118" s="38">
        <f t="shared" si="5"/>
        <v>0</v>
      </c>
      <c r="M118" s="38">
        <f t="shared" si="6"/>
        <v>-331000</v>
      </c>
      <c r="N118" s="38">
        <f t="shared" si="7"/>
        <v>-321000</v>
      </c>
      <c r="O118" s="38">
        <f t="shared" si="8"/>
        <v>-309000</v>
      </c>
    </row>
    <row r="119" spans="1:15" ht="15.75" hidden="1" x14ac:dyDescent="0.25">
      <c r="A119" s="32" t="s">
        <v>30</v>
      </c>
      <c r="B119" s="32" t="s">
        <v>305</v>
      </c>
      <c r="C119" s="33" t="s">
        <v>284</v>
      </c>
      <c r="D119" s="34">
        <v>45839</v>
      </c>
      <c r="E119" s="35">
        <v>19700</v>
      </c>
      <c r="F119" s="36">
        <v>1380000</v>
      </c>
      <c r="G119" s="36">
        <v>0</v>
      </c>
      <c r="H119" s="36">
        <v>340000</v>
      </c>
      <c r="I119" s="36">
        <v>330000</v>
      </c>
      <c r="J119" s="36">
        <v>318000</v>
      </c>
      <c r="K119" s="38">
        <f t="shared" si="9"/>
        <v>-1342000</v>
      </c>
      <c r="L119" s="38">
        <f t="shared" si="5"/>
        <v>0</v>
      </c>
      <c r="M119" s="38">
        <f t="shared" si="6"/>
        <v>-331000</v>
      </c>
      <c r="N119" s="38">
        <f t="shared" si="7"/>
        <v>-321000</v>
      </c>
      <c r="O119" s="38">
        <f t="shared" si="8"/>
        <v>-309000</v>
      </c>
    </row>
    <row r="120" spans="1:15" ht="15.75" hidden="1" x14ac:dyDescent="0.25">
      <c r="A120" s="32" t="s">
        <v>30</v>
      </c>
      <c r="B120" s="32" t="s">
        <v>371</v>
      </c>
      <c r="C120" s="33" t="s">
        <v>284</v>
      </c>
      <c r="D120" s="34">
        <v>45839</v>
      </c>
      <c r="E120" s="35">
        <v>19700</v>
      </c>
      <c r="F120" s="36">
        <v>691000</v>
      </c>
      <c r="G120" s="36">
        <v>0</v>
      </c>
      <c r="H120" s="36">
        <v>105000</v>
      </c>
      <c r="I120" s="36">
        <v>105000</v>
      </c>
      <c r="J120" s="36">
        <v>96000</v>
      </c>
      <c r="K120" s="38">
        <f t="shared" si="9"/>
        <v>-672000</v>
      </c>
      <c r="L120" s="38">
        <f t="shared" si="5"/>
        <v>0</v>
      </c>
      <c r="M120" s="38">
        <f t="shared" si="6"/>
        <v>-102000</v>
      </c>
      <c r="N120" s="38">
        <f t="shared" si="7"/>
        <v>-102000</v>
      </c>
      <c r="O120" s="38">
        <f t="shared" si="8"/>
        <v>-93000</v>
      </c>
    </row>
    <row r="121" spans="1:15" ht="15.75" hidden="1" x14ac:dyDescent="0.25">
      <c r="A121" s="32" t="s">
        <v>30</v>
      </c>
      <c r="B121" s="32" t="s">
        <v>316</v>
      </c>
      <c r="C121" s="33" t="s">
        <v>284</v>
      </c>
      <c r="D121" s="34">
        <v>45839</v>
      </c>
      <c r="E121" s="35">
        <v>19700</v>
      </c>
      <c r="F121" s="36">
        <v>1167000</v>
      </c>
      <c r="G121" s="36">
        <v>0</v>
      </c>
      <c r="H121" s="36">
        <v>298000</v>
      </c>
      <c r="I121" s="36">
        <v>287000</v>
      </c>
      <c r="J121" s="36">
        <v>276000</v>
      </c>
      <c r="K121" s="38">
        <f t="shared" si="9"/>
        <v>-1135000</v>
      </c>
      <c r="L121" s="38">
        <f t="shared" si="5"/>
        <v>0</v>
      </c>
      <c r="M121" s="38">
        <f t="shared" si="6"/>
        <v>-290000</v>
      </c>
      <c r="N121" s="38">
        <f t="shared" si="7"/>
        <v>-279000</v>
      </c>
      <c r="O121" s="38">
        <f t="shared" si="8"/>
        <v>-268000</v>
      </c>
    </row>
    <row r="122" spans="1:15" ht="15.75" hidden="1" x14ac:dyDescent="0.25">
      <c r="A122" s="32" t="s">
        <v>30</v>
      </c>
      <c r="B122" s="32" t="s">
        <v>287</v>
      </c>
      <c r="C122" s="33" t="s">
        <v>284</v>
      </c>
      <c r="D122" s="34">
        <v>45839</v>
      </c>
      <c r="E122" s="35">
        <v>19700</v>
      </c>
      <c r="F122" s="36">
        <v>0</v>
      </c>
      <c r="G122" s="36">
        <v>0</v>
      </c>
      <c r="H122" s="36">
        <v>350000</v>
      </c>
      <c r="I122" s="36">
        <v>330000</v>
      </c>
      <c r="J122" s="36">
        <v>287000</v>
      </c>
      <c r="K122" s="38">
        <f t="shared" si="9"/>
        <v>0</v>
      </c>
      <c r="L122" s="38">
        <f t="shared" si="5"/>
        <v>0</v>
      </c>
      <c r="M122" s="38">
        <f t="shared" si="6"/>
        <v>-340000</v>
      </c>
      <c r="N122" s="38">
        <f t="shared" si="7"/>
        <v>-321000</v>
      </c>
      <c r="O122" s="38">
        <f t="shared" si="8"/>
        <v>-279000</v>
      </c>
    </row>
    <row r="123" spans="1:15" ht="15.75" hidden="1" x14ac:dyDescent="0.25">
      <c r="A123" s="32" t="s">
        <v>30</v>
      </c>
      <c r="B123" s="32" t="s">
        <v>320</v>
      </c>
      <c r="C123" s="33" t="s">
        <v>284</v>
      </c>
      <c r="D123" s="34">
        <v>45839</v>
      </c>
      <c r="E123" s="35">
        <v>19700</v>
      </c>
      <c r="F123" s="36">
        <v>0</v>
      </c>
      <c r="G123" s="36">
        <v>0</v>
      </c>
      <c r="H123" s="36">
        <v>361000</v>
      </c>
      <c r="I123" s="36">
        <v>350000</v>
      </c>
      <c r="J123" s="36">
        <v>340000</v>
      </c>
      <c r="K123" s="38">
        <f t="shared" si="9"/>
        <v>0</v>
      </c>
      <c r="L123" s="38">
        <f t="shared" si="5"/>
        <v>0</v>
      </c>
      <c r="M123" s="38">
        <f t="shared" si="6"/>
        <v>-351000</v>
      </c>
      <c r="N123" s="38">
        <f t="shared" si="7"/>
        <v>-340000</v>
      </c>
      <c r="O123" s="38">
        <f t="shared" si="8"/>
        <v>-331000</v>
      </c>
    </row>
    <row r="124" spans="1:15" ht="15.75" hidden="1" x14ac:dyDescent="0.25">
      <c r="A124" s="32" t="s">
        <v>30</v>
      </c>
      <c r="B124" s="32" t="s">
        <v>306</v>
      </c>
      <c r="C124" s="33" t="s">
        <v>284</v>
      </c>
      <c r="D124" s="34">
        <v>45839</v>
      </c>
      <c r="E124" s="35">
        <v>19700</v>
      </c>
      <c r="F124" s="36">
        <v>1380000</v>
      </c>
      <c r="G124" s="36">
        <v>0</v>
      </c>
      <c r="H124" s="36">
        <v>340000</v>
      </c>
      <c r="I124" s="36">
        <v>330000</v>
      </c>
      <c r="J124" s="36">
        <v>318000</v>
      </c>
      <c r="K124" s="38">
        <f t="shared" si="9"/>
        <v>-1342000</v>
      </c>
      <c r="L124" s="38">
        <f t="shared" si="5"/>
        <v>0</v>
      </c>
      <c r="M124" s="38">
        <f t="shared" si="6"/>
        <v>-331000</v>
      </c>
      <c r="N124" s="38">
        <f t="shared" si="7"/>
        <v>-321000</v>
      </c>
      <c r="O124" s="38">
        <f t="shared" si="8"/>
        <v>-309000</v>
      </c>
    </row>
    <row r="125" spans="1:15" ht="15.75" hidden="1" x14ac:dyDescent="0.25">
      <c r="A125" s="32" t="s">
        <v>30</v>
      </c>
      <c r="B125" s="32" t="s">
        <v>307</v>
      </c>
      <c r="C125" s="33" t="s">
        <v>284</v>
      </c>
      <c r="D125" s="34">
        <v>45839</v>
      </c>
      <c r="E125" s="35">
        <v>19700</v>
      </c>
      <c r="F125" s="36">
        <v>1380000</v>
      </c>
      <c r="G125" s="36">
        <v>0</v>
      </c>
      <c r="H125" s="36">
        <v>340000</v>
      </c>
      <c r="I125" s="36">
        <v>330000</v>
      </c>
      <c r="J125" s="36">
        <v>318000</v>
      </c>
      <c r="K125" s="38">
        <f t="shared" si="9"/>
        <v>-1342000</v>
      </c>
      <c r="L125" s="38">
        <f t="shared" si="5"/>
        <v>0</v>
      </c>
      <c r="M125" s="38">
        <f t="shared" si="6"/>
        <v>-331000</v>
      </c>
      <c r="N125" s="38">
        <f t="shared" si="7"/>
        <v>-321000</v>
      </c>
      <c r="O125" s="38">
        <f t="shared" si="8"/>
        <v>-309000</v>
      </c>
    </row>
    <row r="126" spans="1:15" ht="15.75" hidden="1" x14ac:dyDescent="0.25">
      <c r="A126" s="32" t="s">
        <v>30</v>
      </c>
      <c r="B126" s="32" t="s">
        <v>288</v>
      </c>
      <c r="C126" s="33" t="s">
        <v>284</v>
      </c>
      <c r="D126" s="34">
        <v>45839</v>
      </c>
      <c r="E126" s="35">
        <v>19700</v>
      </c>
      <c r="F126" s="36">
        <v>0</v>
      </c>
      <c r="G126" s="36">
        <v>0</v>
      </c>
      <c r="H126" s="36">
        <v>350000</v>
      </c>
      <c r="I126" s="36">
        <v>330000</v>
      </c>
      <c r="J126" s="36">
        <v>287000</v>
      </c>
      <c r="K126" s="38">
        <f t="shared" si="9"/>
        <v>0</v>
      </c>
      <c r="L126" s="38">
        <f t="shared" si="5"/>
        <v>0</v>
      </c>
      <c r="M126" s="38">
        <f t="shared" si="6"/>
        <v>-340000</v>
      </c>
      <c r="N126" s="38">
        <f t="shared" si="7"/>
        <v>-321000</v>
      </c>
      <c r="O126" s="38">
        <f t="shared" si="8"/>
        <v>-279000</v>
      </c>
    </row>
    <row r="127" spans="1:15" ht="15.75" hidden="1" x14ac:dyDescent="0.25">
      <c r="A127" s="32" t="s">
        <v>30</v>
      </c>
      <c r="B127" s="32" t="s">
        <v>367</v>
      </c>
      <c r="C127" s="33" t="s">
        <v>284</v>
      </c>
      <c r="D127" s="34">
        <v>45839</v>
      </c>
      <c r="E127" s="35">
        <v>19700</v>
      </c>
      <c r="F127" s="36">
        <v>1167000</v>
      </c>
      <c r="G127" s="36">
        <v>0</v>
      </c>
      <c r="H127" s="36">
        <v>350000</v>
      </c>
      <c r="I127" s="36">
        <v>287000</v>
      </c>
      <c r="J127" s="36">
        <v>287000</v>
      </c>
      <c r="K127" s="38">
        <f t="shared" si="9"/>
        <v>-1135000</v>
      </c>
      <c r="L127" s="38">
        <f t="shared" si="5"/>
        <v>0</v>
      </c>
      <c r="M127" s="38">
        <f t="shared" si="6"/>
        <v>-340000</v>
      </c>
      <c r="N127" s="38">
        <f t="shared" si="7"/>
        <v>-279000</v>
      </c>
      <c r="O127" s="38">
        <f t="shared" si="8"/>
        <v>-279000</v>
      </c>
    </row>
    <row r="128" spans="1:15" ht="15.75" hidden="1" x14ac:dyDescent="0.25">
      <c r="A128" s="32" t="s">
        <v>30</v>
      </c>
      <c r="B128" s="32" t="s">
        <v>317</v>
      </c>
      <c r="C128" s="33" t="s">
        <v>284</v>
      </c>
      <c r="D128" s="34">
        <v>45839</v>
      </c>
      <c r="E128" s="35">
        <v>19700</v>
      </c>
      <c r="F128" s="36">
        <v>1167000</v>
      </c>
      <c r="G128" s="36">
        <v>0</v>
      </c>
      <c r="H128" s="36">
        <v>298000</v>
      </c>
      <c r="I128" s="36">
        <v>287000</v>
      </c>
      <c r="J128" s="36">
        <v>276000</v>
      </c>
      <c r="K128" s="38">
        <f t="shared" si="9"/>
        <v>-1135000</v>
      </c>
      <c r="L128" s="38">
        <f t="shared" si="5"/>
        <v>0</v>
      </c>
      <c r="M128" s="38">
        <f t="shared" si="6"/>
        <v>-290000</v>
      </c>
      <c r="N128" s="38">
        <f t="shared" si="7"/>
        <v>-279000</v>
      </c>
      <c r="O128" s="38">
        <f t="shared" si="8"/>
        <v>-268000</v>
      </c>
    </row>
    <row r="129" spans="1:15" ht="15.75" hidden="1" x14ac:dyDescent="0.25">
      <c r="A129" s="32" t="s">
        <v>30</v>
      </c>
      <c r="B129" s="32" t="s">
        <v>54</v>
      </c>
      <c r="C129" s="33" t="s">
        <v>284</v>
      </c>
      <c r="D129" s="34">
        <v>45839</v>
      </c>
      <c r="E129" s="35">
        <v>19700</v>
      </c>
      <c r="F129" s="36">
        <v>0</v>
      </c>
      <c r="G129" s="36">
        <v>0</v>
      </c>
      <c r="H129" s="36">
        <v>361000</v>
      </c>
      <c r="I129" s="36">
        <v>350000</v>
      </c>
      <c r="J129" s="36">
        <v>340000</v>
      </c>
      <c r="K129" s="38">
        <f t="shared" si="9"/>
        <v>0</v>
      </c>
      <c r="L129" s="38">
        <f t="shared" si="5"/>
        <v>0</v>
      </c>
      <c r="M129" s="38">
        <f t="shared" si="6"/>
        <v>-351000</v>
      </c>
      <c r="N129" s="38">
        <f t="shared" si="7"/>
        <v>-340000</v>
      </c>
      <c r="O129" s="38">
        <f t="shared" si="8"/>
        <v>-331000</v>
      </c>
    </row>
    <row r="130" spans="1:15" ht="15.75" hidden="1" x14ac:dyDescent="0.25">
      <c r="A130" s="32" t="s">
        <v>30</v>
      </c>
      <c r="B130" s="32" t="s">
        <v>368</v>
      </c>
      <c r="C130" s="33" t="s">
        <v>284</v>
      </c>
      <c r="D130" s="34">
        <v>45839</v>
      </c>
      <c r="E130" s="35">
        <v>19700</v>
      </c>
      <c r="F130" s="36">
        <v>1167000</v>
      </c>
      <c r="G130" s="36">
        <v>0</v>
      </c>
      <c r="H130" s="36">
        <v>350000</v>
      </c>
      <c r="I130" s="36">
        <v>287000</v>
      </c>
      <c r="J130" s="36">
        <v>287000</v>
      </c>
      <c r="K130" s="38">
        <f t="shared" si="9"/>
        <v>-1135000</v>
      </c>
      <c r="L130" s="38">
        <f t="shared" ref="L130:L193" si="10">ROUND(G130*2.74%-G130,-3)</f>
        <v>0</v>
      </c>
      <c r="M130" s="38">
        <f t="shared" ref="M130:M193" si="11">ROUND(H130*2.74%-H130,-3)</f>
        <v>-340000</v>
      </c>
      <c r="N130" s="38">
        <f t="shared" ref="N130:N193" si="12">ROUND(I130*2.74%-I130,-3)</f>
        <v>-279000</v>
      </c>
      <c r="O130" s="38">
        <f t="shared" ref="O130:O193" si="13">ROUND(J130*2.74%-J130,-3)</f>
        <v>-279000</v>
      </c>
    </row>
    <row r="131" spans="1:15" ht="15.75" hidden="1" x14ac:dyDescent="0.25">
      <c r="A131" s="32" t="s">
        <v>30</v>
      </c>
      <c r="B131" s="32" t="s">
        <v>318</v>
      </c>
      <c r="C131" s="33" t="s">
        <v>284</v>
      </c>
      <c r="D131" s="34">
        <v>45839</v>
      </c>
      <c r="E131" s="35">
        <v>19700</v>
      </c>
      <c r="F131" s="36">
        <v>1167000</v>
      </c>
      <c r="G131" s="36">
        <v>0</v>
      </c>
      <c r="H131" s="36">
        <v>298000</v>
      </c>
      <c r="I131" s="36">
        <v>287000</v>
      </c>
      <c r="J131" s="36">
        <v>276000</v>
      </c>
      <c r="K131" s="38">
        <f t="shared" ref="K131:K194" si="14">ROUND(F131*2.74%-F131,-3)</f>
        <v>-1135000</v>
      </c>
      <c r="L131" s="38">
        <f t="shared" si="10"/>
        <v>0</v>
      </c>
      <c r="M131" s="38">
        <f t="shared" si="11"/>
        <v>-290000</v>
      </c>
      <c r="N131" s="38">
        <f t="shared" si="12"/>
        <v>-279000</v>
      </c>
      <c r="O131" s="38">
        <f t="shared" si="13"/>
        <v>-268000</v>
      </c>
    </row>
    <row r="132" spans="1:15" ht="15.75" hidden="1" x14ac:dyDescent="0.25">
      <c r="A132" s="32" t="s">
        <v>30</v>
      </c>
      <c r="B132" s="32" t="s">
        <v>289</v>
      </c>
      <c r="C132" s="33" t="s">
        <v>284</v>
      </c>
      <c r="D132" s="34">
        <v>45839</v>
      </c>
      <c r="E132" s="35">
        <v>19700</v>
      </c>
      <c r="F132" s="36">
        <v>0</v>
      </c>
      <c r="G132" s="36">
        <v>0</v>
      </c>
      <c r="H132" s="36">
        <v>350000</v>
      </c>
      <c r="I132" s="36">
        <v>330000</v>
      </c>
      <c r="J132" s="36">
        <v>287000</v>
      </c>
      <c r="K132" s="38">
        <f t="shared" si="14"/>
        <v>0</v>
      </c>
      <c r="L132" s="38">
        <f t="shared" si="10"/>
        <v>0</v>
      </c>
      <c r="M132" s="38">
        <f t="shared" si="11"/>
        <v>-340000</v>
      </c>
      <c r="N132" s="38">
        <f t="shared" si="12"/>
        <v>-321000</v>
      </c>
      <c r="O132" s="38">
        <f t="shared" si="13"/>
        <v>-279000</v>
      </c>
    </row>
    <row r="133" spans="1:15" ht="15.75" hidden="1" x14ac:dyDescent="0.25">
      <c r="A133" s="32" t="s">
        <v>30</v>
      </c>
      <c r="B133" s="32" t="s">
        <v>313</v>
      </c>
      <c r="C133" s="33" t="s">
        <v>284</v>
      </c>
      <c r="D133" s="34">
        <v>45839</v>
      </c>
      <c r="E133" s="35">
        <v>19700</v>
      </c>
      <c r="F133" s="36">
        <v>0</v>
      </c>
      <c r="G133" s="36">
        <v>0</v>
      </c>
      <c r="H133" s="36">
        <v>361000</v>
      </c>
      <c r="I133" s="36">
        <v>350000</v>
      </c>
      <c r="J133" s="36">
        <v>340000</v>
      </c>
      <c r="K133" s="38">
        <f t="shared" si="14"/>
        <v>0</v>
      </c>
      <c r="L133" s="38">
        <f t="shared" si="10"/>
        <v>0</v>
      </c>
      <c r="M133" s="38">
        <f t="shared" si="11"/>
        <v>-351000</v>
      </c>
      <c r="N133" s="38">
        <f t="shared" si="12"/>
        <v>-340000</v>
      </c>
      <c r="O133" s="38">
        <f t="shared" si="13"/>
        <v>-331000</v>
      </c>
    </row>
    <row r="134" spans="1:15" ht="15.75" hidden="1" x14ac:dyDescent="0.25">
      <c r="A134" s="32" t="s">
        <v>30</v>
      </c>
      <c r="B134" s="32" t="s">
        <v>291</v>
      </c>
      <c r="C134" s="33" t="s">
        <v>284</v>
      </c>
      <c r="D134" s="34">
        <v>45839</v>
      </c>
      <c r="E134" s="35">
        <v>19700</v>
      </c>
      <c r="F134" s="36">
        <v>0</v>
      </c>
      <c r="G134" s="36">
        <v>0</v>
      </c>
      <c r="H134" s="36">
        <v>361000</v>
      </c>
      <c r="I134" s="36">
        <v>340000</v>
      </c>
      <c r="J134" s="36">
        <v>298000</v>
      </c>
      <c r="K134" s="38">
        <f t="shared" si="14"/>
        <v>0</v>
      </c>
      <c r="L134" s="38">
        <f t="shared" si="10"/>
        <v>0</v>
      </c>
      <c r="M134" s="38">
        <f t="shared" si="11"/>
        <v>-351000</v>
      </c>
      <c r="N134" s="38">
        <f t="shared" si="12"/>
        <v>-331000</v>
      </c>
      <c r="O134" s="38">
        <f t="shared" si="13"/>
        <v>-290000</v>
      </c>
    </row>
    <row r="135" spans="1:15" ht="15.75" hidden="1" x14ac:dyDescent="0.25">
      <c r="A135" s="32" t="s">
        <v>30</v>
      </c>
      <c r="B135" s="32" t="s">
        <v>292</v>
      </c>
      <c r="C135" s="33" t="s">
        <v>284</v>
      </c>
      <c r="D135" s="34">
        <v>45839</v>
      </c>
      <c r="E135" s="35">
        <v>19700</v>
      </c>
      <c r="F135" s="36">
        <v>0</v>
      </c>
      <c r="G135" s="36">
        <v>0</v>
      </c>
      <c r="H135" s="36">
        <v>361000</v>
      </c>
      <c r="I135" s="36">
        <v>340000</v>
      </c>
      <c r="J135" s="36">
        <v>298000</v>
      </c>
      <c r="K135" s="38">
        <f t="shared" si="14"/>
        <v>0</v>
      </c>
      <c r="L135" s="38">
        <f t="shared" si="10"/>
        <v>0</v>
      </c>
      <c r="M135" s="38">
        <f t="shared" si="11"/>
        <v>-351000</v>
      </c>
      <c r="N135" s="38">
        <f t="shared" si="12"/>
        <v>-331000</v>
      </c>
      <c r="O135" s="38">
        <f t="shared" si="13"/>
        <v>-290000</v>
      </c>
    </row>
    <row r="136" spans="1:15" ht="15.75" hidden="1" x14ac:dyDescent="0.25">
      <c r="A136" s="32" t="s">
        <v>30</v>
      </c>
      <c r="B136" s="32" t="s">
        <v>369</v>
      </c>
      <c r="C136" s="33" t="s">
        <v>284</v>
      </c>
      <c r="D136" s="34">
        <v>45839</v>
      </c>
      <c r="E136" s="35">
        <v>19700</v>
      </c>
      <c r="F136" s="36">
        <v>1167000</v>
      </c>
      <c r="G136" s="36">
        <v>0</v>
      </c>
      <c r="H136" s="36">
        <v>350000</v>
      </c>
      <c r="I136" s="36">
        <v>287000</v>
      </c>
      <c r="J136" s="36">
        <v>287000</v>
      </c>
      <c r="K136" s="38">
        <f t="shared" si="14"/>
        <v>-1135000</v>
      </c>
      <c r="L136" s="38">
        <f t="shared" si="10"/>
        <v>0</v>
      </c>
      <c r="M136" s="38">
        <f t="shared" si="11"/>
        <v>-340000</v>
      </c>
      <c r="N136" s="38">
        <f t="shared" si="12"/>
        <v>-279000</v>
      </c>
      <c r="O136" s="38">
        <f t="shared" si="13"/>
        <v>-279000</v>
      </c>
    </row>
    <row r="137" spans="1:15" ht="15.75" hidden="1" x14ac:dyDescent="0.25">
      <c r="A137" s="32" t="s">
        <v>30</v>
      </c>
      <c r="B137" s="32" t="s">
        <v>319</v>
      </c>
      <c r="C137" s="33" t="s">
        <v>284</v>
      </c>
      <c r="D137" s="34">
        <v>45839</v>
      </c>
      <c r="E137" s="35">
        <v>19700</v>
      </c>
      <c r="F137" s="36">
        <v>1167000</v>
      </c>
      <c r="G137" s="36">
        <v>0</v>
      </c>
      <c r="H137" s="36">
        <v>298000</v>
      </c>
      <c r="I137" s="36">
        <v>287000</v>
      </c>
      <c r="J137" s="36">
        <v>276000</v>
      </c>
      <c r="K137" s="38">
        <f t="shared" si="14"/>
        <v>-1135000</v>
      </c>
      <c r="L137" s="38">
        <f t="shared" si="10"/>
        <v>0</v>
      </c>
      <c r="M137" s="38">
        <f t="shared" si="11"/>
        <v>-290000</v>
      </c>
      <c r="N137" s="38">
        <f t="shared" si="12"/>
        <v>-279000</v>
      </c>
      <c r="O137" s="38">
        <f t="shared" si="13"/>
        <v>-268000</v>
      </c>
    </row>
    <row r="138" spans="1:15" ht="15.75" hidden="1" x14ac:dyDescent="0.25">
      <c r="A138" s="32" t="s">
        <v>30</v>
      </c>
      <c r="B138" s="32" t="s">
        <v>308</v>
      </c>
      <c r="C138" s="33" t="s">
        <v>284</v>
      </c>
      <c r="D138" s="34">
        <v>45839</v>
      </c>
      <c r="E138" s="35">
        <v>19700</v>
      </c>
      <c r="F138" s="36">
        <v>1380000</v>
      </c>
      <c r="G138" s="36">
        <v>0</v>
      </c>
      <c r="H138" s="36">
        <v>340000</v>
      </c>
      <c r="I138" s="36">
        <v>330000</v>
      </c>
      <c r="J138" s="36">
        <v>318000</v>
      </c>
      <c r="K138" s="38">
        <f t="shared" si="14"/>
        <v>-1342000</v>
      </c>
      <c r="L138" s="38">
        <f t="shared" si="10"/>
        <v>0</v>
      </c>
      <c r="M138" s="38">
        <f t="shared" si="11"/>
        <v>-331000</v>
      </c>
      <c r="N138" s="38">
        <f t="shared" si="12"/>
        <v>-321000</v>
      </c>
      <c r="O138" s="38">
        <f t="shared" si="13"/>
        <v>-309000</v>
      </c>
    </row>
    <row r="139" spans="1:15" ht="15.75" hidden="1" x14ac:dyDescent="0.25">
      <c r="A139" s="32" t="s">
        <v>30</v>
      </c>
      <c r="B139" s="32" t="s">
        <v>309</v>
      </c>
      <c r="C139" s="33" t="s">
        <v>284</v>
      </c>
      <c r="D139" s="34">
        <v>45839</v>
      </c>
      <c r="E139" s="35">
        <v>19700</v>
      </c>
      <c r="F139" s="36">
        <v>1380000</v>
      </c>
      <c r="G139" s="36">
        <v>0</v>
      </c>
      <c r="H139" s="36">
        <v>340000</v>
      </c>
      <c r="I139" s="36">
        <v>330000</v>
      </c>
      <c r="J139" s="36">
        <v>318000</v>
      </c>
      <c r="K139" s="38">
        <f t="shared" si="14"/>
        <v>-1342000</v>
      </c>
      <c r="L139" s="38">
        <f t="shared" si="10"/>
        <v>0</v>
      </c>
      <c r="M139" s="38">
        <f t="shared" si="11"/>
        <v>-331000</v>
      </c>
      <c r="N139" s="38">
        <f t="shared" si="12"/>
        <v>-321000</v>
      </c>
      <c r="O139" s="38">
        <f t="shared" si="13"/>
        <v>-309000</v>
      </c>
    </row>
    <row r="140" spans="1:15" ht="15.75" hidden="1" x14ac:dyDescent="0.25">
      <c r="A140" s="32" t="s">
        <v>30</v>
      </c>
      <c r="B140" s="32" t="s">
        <v>290</v>
      </c>
      <c r="C140" s="33" t="s">
        <v>284</v>
      </c>
      <c r="D140" s="34">
        <v>45839</v>
      </c>
      <c r="E140" s="35">
        <v>19700</v>
      </c>
      <c r="F140" s="36">
        <v>0</v>
      </c>
      <c r="G140" s="36">
        <v>0</v>
      </c>
      <c r="H140" s="36">
        <v>350000</v>
      </c>
      <c r="I140" s="36">
        <v>330000</v>
      </c>
      <c r="J140" s="36">
        <v>287000</v>
      </c>
      <c r="K140" s="38">
        <f t="shared" si="14"/>
        <v>0</v>
      </c>
      <c r="L140" s="38">
        <f t="shared" si="10"/>
        <v>0</v>
      </c>
      <c r="M140" s="38">
        <f t="shared" si="11"/>
        <v>-340000</v>
      </c>
      <c r="N140" s="38">
        <f t="shared" si="12"/>
        <v>-321000</v>
      </c>
      <c r="O140" s="38">
        <f t="shared" si="13"/>
        <v>-279000</v>
      </c>
    </row>
    <row r="141" spans="1:15" ht="15.75" hidden="1" x14ac:dyDescent="0.25">
      <c r="A141" s="32" t="s">
        <v>30</v>
      </c>
      <c r="B141" s="32" t="s">
        <v>55</v>
      </c>
      <c r="C141" s="33" t="s">
        <v>284</v>
      </c>
      <c r="D141" s="34">
        <v>45839</v>
      </c>
      <c r="E141" s="35">
        <v>19700</v>
      </c>
      <c r="F141" s="36">
        <v>1380000</v>
      </c>
      <c r="G141" s="36">
        <v>0</v>
      </c>
      <c r="H141" s="36">
        <v>340000</v>
      </c>
      <c r="I141" s="36">
        <v>330000</v>
      </c>
      <c r="J141" s="36">
        <v>318000</v>
      </c>
      <c r="K141" s="38">
        <f t="shared" si="14"/>
        <v>-1342000</v>
      </c>
      <c r="L141" s="38">
        <f t="shared" si="10"/>
        <v>0</v>
      </c>
      <c r="M141" s="38">
        <f t="shared" si="11"/>
        <v>-331000</v>
      </c>
      <c r="N141" s="38">
        <f t="shared" si="12"/>
        <v>-321000</v>
      </c>
      <c r="O141" s="38">
        <f t="shared" si="13"/>
        <v>-309000</v>
      </c>
    </row>
    <row r="142" spans="1:15" ht="15.75" hidden="1" x14ac:dyDescent="0.25">
      <c r="A142" s="32" t="s">
        <v>30</v>
      </c>
      <c r="B142" s="32" t="s">
        <v>310</v>
      </c>
      <c r="C142" s="33" t="s">
        <v>284</v>
      </c>
      <c r="D142" s="34">
        <v>45839</v>
      </c>
      <c r="E142" s="35">
        <v>19700</v>
      </c>
      <c r="F142" s="36">
        <v>1380000</v>
      </c>
      <c r="G142" s="36">
        <v>0</v>
      </c>
      <c r="H142" s="36">
        <v>340000</v>
      </c>
      <c r="I142" s="36">
        <v>330000</v>
      </c>
      <c r="J142" s="36">
        <v>318000</v>
      </c>
      <c r="K142" s="38">
        <f t="shared" si="14"/>
        <v>-1342000</v>
      </c>
      <c r="L142" s="38">
        <f t="shared" si="10"/>
        <v>0</v>
      </c>
      <c r="M142" s="38">
        <f t="shared" si="11"/>
        <v>-331000</v>
      </c>
      <c r="N142" s="38">
        <f t="shared" si="12"/>
        <v>-321000</v>
      </c>
      <c r="O142" s="38">
        <f t="shared" si="13"/>
        <v>-309000</v>
      </c>
    </row>
    <row r="143" spans="1:15" ht="15.75" hidden="1" x14ac:dyDescent="0.25">
      <c r="A143" s="32" t="s">
        <v>30</v>
      </c>
      <c r="B143" s="32" t="s">
        <v>370</v>
      </c>
      <c r="C143" s="33" t="s">
        <v>284</v>
      </c>
      <c r="D143" s="34">
        <v>45839</v>
      </c>
      <c r="E143" s="35">
        <v>19700</v>
      </c>
      <c r="F143" s="36">
        <v>1167000</v>
      </c>
      <c r="G143" s="36">
        <v>0</v>
      </c>
      <c r="H143" s="36">
        <v>350000</v>
      </c>
      <c r="I143" s="36">
        <v>287000</v>
      </c>
      <c r="J143" s="36">
        <v>287000</v>
      </c>
      <c r="K143" s="38">
        <f t="shared" si="14"/>
        <v>-1135000</v>
      </c>
      <c r="L143" s="38">
        <f t="shared" si="10"/>
        <v>0</v>
      </c>
      <c r="M143" s="38">
        <f t="shared" si="11"/>
        <v>-340000</v>
      </c>
      <c r="N143" s="38">
        <f t="shared" si="12"/>
        <v>-279000</v>
      </c>
      <c r="O143" s="38">
        <f t="shared" si="13"/>
        <v>-279000</v>
      </c>
    </row>
    <row r="144" spans="1:15" ht="15.75" hidden="1" x14ac:dyDescent="0.25">
      <c r="A144" s="32" t="s">
        <v>30</v>
      </c>
      <c r="B144" s="32" t="s">
        <v>311</v>
      </c>
      <c r="C144" s="33" t="s">
        <v>284</v>
      </c>
      <c r="D144" s="34">
        <v>45839</v>
      </c>
      <c r="E144" s="35">
        <v>19700</v>
      </c>
      <c r="F144" s="36">
        <v>1380000</v>
      </c>
      <c r="G144" s="36">
        <v>0</v>
      </c>
      <c r="H144" s="36">
        <v>340000</v>
      </c>
      <c r="I144" s="36">
        <v>330000</v>
      </c>
      <c r="J144" s="36">
        <v>318000</v>
      </c>
      <c r="K144" s="38">
        <f t="shared" si="14"/>
        <v>-1342000</v>
      </c>
      <c r="L144" s="38">
        <f t="shared" si="10"/>
        <v>0</v>
      </c>
      <c r="M144" s="38">
        <f t="shared" si="11"/>
        <v>-331000</v>
      </c>
      <c r="N144" s="38">
        <f t="shared" si="12"/>
        <v>-321000</v>
      </c>
      <c r="O144" s="38">
        <f t="shared" si="13"/>
        <v>-309000</v>
      </c>
    </row>
    <row r="145" spans="1:15" ht="15.75" hidden="1" x14ac:dyDescent="0.25">
      <c r="A145" s="32" t="s">
        <v>30</v>
      </c>
      <c r="B145" s="32" t="s">
        <v>56</v>
      </c>
      <c r="C145" s="33" t="s">
        <v>284</v>
      </c>
      <c r="D145" s="34">
        <v>45839</v>
      </c>
      <c r="E145" s="35">
        <v>19700</v>
      </c>
      <c r="F145" s="36">
        <v>1167000</v>
      </c>
      <c r="G145" s="36">
        <v>0</v>
      </c>
      <c r="H145" s="36">
        <v>298000</v>
      </c>
      <c r="I145" s="36">
        <v>287000</v>
      </c>
      <c r="J145" s="36">
        <v>276000</v>
      </c>
      <c r="K145" s="38">
        <f t="shared" si="14"/>
        <v>-1135000</v>
      </c>
      <c r="L145" s="38">
        <f t="shared" si="10"/>
        <v>0</v>
      </c>
      <c r="M145" s="38">
        <f t="shared" si="11"/>
        <v>-290000</v>
      </c>
      <c r="N145" s="38">
        <f t="shared" si="12"/>
        <v>-279000</v>
      </c>
      <c r="O145" s="38">
        <f t="shared" si="13"/>
        <v>-268000</v>
      </c>
    </row>
    <row r="146" spans="1:15" ht="15.75" hidden="1" x14ac:dyDescent="0.25">
      <c r="A146" s="32" t="s">
        <v>30</v>
      </c>
      <c r="B146" s="32" t="s">
        <v>57</v>
      </c>
      <c r="C146" s="33" t="s">
        <v>284</v>
      </c>
      <c r="D146" s="34">
        <v>45839</v>
      </c>
      <c r="E146" s="35">
        <v>19700</v>
      </c>
      <c r="F146" s="36">
        <v>1167000</v>
      </c>
      <c r="G146" s="36">
        <v>0</v>
      </c>
      <c r="H146" s="36">
        <v>298000</v>
      </c>
      <c r="I146" s="36">
        <v>287000</v>
      </c>
      <c r="J146" s="36">
        <v>276000</v>
      </c>
      <c r="K146" s="38">
        <f t="shared" si="14"/>
        <v>-1135000</v>
      </c>
      <c r="L146" s="38">
        <f t="shared" si="10"/>
        <v>0</v>
      </c>
      <c r="M146" s="38">
        <f t="shared" si="11"/>
        <v>-290000</v>
      </c>
      <c r="N146" s="38">
        <f t="shared" si="12"/>
        <v>-279000</v>
      </c>
      <c r="O146" s="38">
        <f t="shared" si="13"/>
        <v>-268000</v>
      </c>
    </row>
    <row r="147" spans="1:15" ht="15.75" hidden="1" x14ac:dyDescent="0.25">
      <c r="A147" s="32" t="s">
        <v>30</v>
      </c>
      <c r="B147" s="32" t="s">
        <v>323</v>
      </c>
      <c r="C147" s="33" t="s">
        <v>284</v>
      </c>
      <c r="D147" s="34">
        <v>45839</v>
      </c>
      <c r="E147" s="35">
        <v>19700</v>
      </c>
      <c r="F147" s="36">
        <v>1167000</v>
      </c>
      <c r="G147" s="36">
        <v>0</v>
      </c>
      <c r="H147" s="36">
        <v>298000</v>
      </c>
      <c r="I147" s="36">
        <v>287000</v>
      </c>
      <c r="J147" s="36">
        <v>276000</v>
      </c>
      <c r="K147" s="38">
        <f t="shared" si="14"/>
        <v>-1135000</v>
      </c>
      <c r="L147" s="38">
        <f t="shared" si="10"/>
        <v>0</v>
      </c>
      <c r="M147" s="38">
        <f t="shared" si="11"/>
        <v>-290000</v>
      </c>
      <c r="N147" s="38">
        <f t="shared" si="12"/>
        <v>-279000</v>
      </c>
      <c r="O147" s="38">
        <f t="shared" si="13"/>
        <v>-268000</v>
      </c>
    </row>
    <row r="148" spans="1:15" ht="15.75" hidden="1" x14ac:dyDescent="0.25">
      <c r="A148" s="32" t="s">
        <v>30</v>
      </c>
      <c r="B148" s="32" t="s">
        <v>312</v>
      </c>
      <c r="C148" s="33" t="s">
        <v>284</v>
      </c>
      <c r="D148" s="34">
        <v>45839</v>
      </c>
      <c r="E148" s="35">
        <v>19700</v>
      </c>
      <c r="F148" s="36">
        <v>1380000</v>
      </c>
      <c r="G148" s="36">
        <v>0</v>
      </c>
      <c r="H148" s="36">
        <v>340000</v>
      </c>
      <c r="I148" s="36">
        <v>330000</v>
      </c>
      <c r="J148" s="36">
        <v>318000</v>
      </c>
      <c r="K148" s="38">
        <f t="shared" si="14"/>
        <v>-1342000</v>
      </c>
      <c r="L148" s="38">
        <f t="shared" si="10"/>
        <v>0</v>
      </c>
      <c r="M148" s="38">
        <f t="shared" si="11"/>
        <v>-331000</v>
      </c>
      <c r="N148" s="38">
        <f t="shared" si="12"/>
        <v>-321000</v>
      </c>
      <c r="O148" s="38">
        <f t="shared" si="13"/>
        <v>-309000</v>
      </c>
    </row>
    <row r="149" spans="1:15" ht="15.75" hidden="1" x14ac:dyDescent="0.25">
      <c r="A149" s="32" t="s">
        <v>16</v>
      </c>
      <c r="B149" s="32" t="s">
        <v>284</v>
      </c>
      <c r="C149" s="33" t="s">
        <v>284</v>
      </c>
      <c r="D149" s="34">
        <v>45839</v>
      </c>
      <c r="E149" s="35">
        <v>19700</v>
      </c>
      <c r="F149" s="36">
        <v>0</v>
      </c>
      <c r="G149" s="36">
        <v>0</v>
      </c>
      <c r="H149" s="36">
        <v>1433000</v>
      </c>
      <c r="I149" s="36">
        <v>1327000</v>
      </c>
      <c r="J149" s="36">
        <v>1221000</v>
      </c>
      <c r="K149" s="38">
        <f t="shared" si="14"/>
        <v>0</v>
      </c>
      <c r="L149" s="38">
        <f t="shared" si="10"/>
        <v>0</v>
      </c>
      <c r="M149" s="38">
        <f t="shared" si="11"/>
        <v>-1394000</v>
      </c>
      <c r="N149" s="38">
        <f t="shared" si="12"/>
        <v>-1291000</v>
      </c>
      <c r="O149" s="38">
        <f t="shared" si="13"/>
        <v>-1188000</v>
      </c>
    </row>
    <row r="150" spans="1:15" ht="15.75" hidden="1" x14ac:dyDescent="0.25">
      <c r="A150" s="32" t="s">
        <v>33</v>
      </c>
      <c r="B150" s="32" t="s">
        <v>372</v>
      </c>
      <c r="C150" s="33" t="s">
        <v>284</v>
      </c>
      <c r="D150" s="34">
        <v>45839</v>
      </c>
      <c r="E150" s="35">
        <v>19700</v>
      </c>
      <c r="F150" s="36">
        <v>0</v>
      </c>
      <c r="G150" s="36">
        <v>0</v>
      </c>
      <c r="H150" s="36">
        <v>648000</v>
      </c>
      <c r="I150" s="36">
        <v>616000</v>
      </c>
      <c r="J150" s="36">
        <v>606000</v>
      </c>
      <c r="K150" s="38">
        <f t="shared" si="14"/>
        <v>0</v>
      </c>
      <c r="L150" s="38">
        <f t="shared" si="10"/>
        <v>0</v>
      </c>
      <c r="M150" s="38">
        <f t="shared" si="11"/>
        <v>-630000</v>
      </c>
      <c r="N150" s="38">
        <f t="shared" si="12"/>
        <v>-599000</v>
      </c>
      <c r="O150" s="38">
        <f t="shared" si="13"/>
        <v>-589000</v>
      </c>
    </row>
    <row r="151" spans="1:15" ht="15.75" hidden="1" x14ac:dyDescent="0.25">
      <c r="A151" s="32" t="s">
        <v>33</v>
      </c>
      <c r="B151" s="32" t="s">
        <v>373</v>
      </c>
      <c r="C151" s="33" t="s">
        <v>284</v>
      </c>
      <c r="D151" s="34">
        <v>45839</v>
      </c>
      <c r="E151" s="35">
        <v>19700</v>
      </c>
      <c r="F151" s="36">
        <v>0</v>
      </c>
      <c r="G151" s="36">
        <v>0</v>
      </c>
      <c r="H151" s="36">
        <v>648000</v>
      </c>
      <c r="I151" s="36">
        <v>616000</v>
      </c>
      <c r="J151" s="36">
        <v>606000</v>
      </c>
      <c r="K151" s="38">
        <f t="shared" si="14"/>
        <v>0</v>
      </c>
      <c r="L151" s="38">
        <f t="shared" si="10"/>
        <v>0</v>
      </c>
      <c r="M151" s="38">
        <f t="shared" si="11"/>
        <v>-630000</v>
      </c>
      <c r="N151" s="38">
        <f t="shared" si="12"/>
        <v>-599000</v>
      </c>
      <c r="O151" s="38">
        <f t="shared" si="13"/>
        <v>-589000</v>
      </c>
    </row>
    <row r="152" spans="1:15" ht="15.75" hidden="1" x14ac:dyDescent="0.25">
      <c r="A152" s="32" t="s">
        <v>33</v>
      </c>
      <c r="B152" s="32" t="s">
        <v>398</v>
      </c>
      <c r="C152" s="33" t="s">
        <v>284</v>
      </c>
      <c r="D152" s="34">
        <v>45839</v>
      </c>
      <c r="E152" s="35">
        <v>19700</v>
      </c>
      <c r="F152" s="36">
        <v>0</v>
      </c>
      <c r="G152" s="36">
        <v>0</v>
      </c>
      <c r="H152" s="36">
        <v>691000</v>
      </c>
      <c r="I152" s="36">
        <v>552000</v>
      </c>
      <c r="J152" s="36">
        <v>478000</v>
      </c>
      <c r="K152" s="38">
        <f t="shared" si="14"/>
        <v>0</v>
      </c>
      <c r="L152" s="38">
        <f t="shared" si="10"/>
        <v>0</v>
      </c>
      <c r="M152" s="38">
        <f t="shared" si="11"/>
        <v>-672000</v>
      </c>
      <c r="N152" s="38">
        <f t="shared" si="12"/>
        <v>-537000</v>
      </c>
      <c r="O152" s="38">
        <f t="shared" si="13"/>
        <v>-465000</v>
      </c>
    </row>
    <row r="153" spans="1:15" ht="15.75" hidden="1" x14ac:dyDescent="0.25">
      <c r="A153" s="32" t="s">
        <v>33</v>
      </c>
      <c r="B153" s="32" t="s">
        <v>399</v>
      </c>
      <c r="C153" s="33" t="s">
        <v>284</v>
      </c>
      <c r="D153" s="34">
        <v>45839</v>
      </c>
      <c r="E153" s="35">
        <v>19700</v>
      </c>
      <c r="F153" s="36">
        <v>0</v>
      </c>
      <c r="G153" s="36">
        <v>0</v>
      </c>
      <c r="H153" s="36">
        <v>691000</v>
      </c>
      <c r="I153" s="36">
        <v>552000</v>
      </c>
      <c r="J153" s="36">
        <v>478000</v>
      </c>
      <c r="K153" s="38">
        <f t="shared" si="14"/>
        <v>0</v>
      </c>
      <c r="L153" s="38">
        <f t="shared" si="10"/>
        <v>0</v>
      </c>
      <c r="M153" s="38">
        <f t="shared" si="11"/>
        <v>-672000</v>
      </c>
      <c r="N153" s="38">
        <f t="shared" si="12"/>
        <v>-537000</v>
      </c>
      <c r="O153" s="38">
        <f t="shared" si="13"/>
        <v>-465000</v>
      </c>
    </row>
    <row r="154" spans="1:15" ht="15.75" x14ac:dyDescent="0.25">
      <c r="A154" s="32" t="s">
        <v>94</v>
      </c>
      <c r="B154" s="32" t="s">
        <v>379</v>
      </c>
      <c r="C154" s="33" t="s">
        <v>284</v>
      </c>
      <c r="D154" s="34">
        <v>45839</v>
      </c>
      <c r="E154" s="35">
        <v>19700</v>
      </c>
      <c r="F154" s="36">
        <v>0</v>
      </c>
      <c r="G154" s="36">
        <v>0</v>
      </c>
      <c r="H154" s="36">
        <v>478000</v>
      </c>
      <c r="I154" s="36">
        <v>403000</v>
      </c>
      <c r="J154" s="36">
        <v>340000</v>
      </c>
      <c r="K154" s="38">
        <f t="shared" si="14"/>
        <v>0</v>
      </c>
      <c r="L154" s="38">
        <f t="shared" si="10"/>
        <v>0</v>
      </c>
      <c r="M154" s="38">
        <f t="shared" si="11"/>
        <v>-465000</v>
      </c>
      <c r="N154" s="38">
        <f t="shared" si="12"/>
        <v>-392000</v>
      </c>
      <c r="O154" s="38">
        <f t="shared" si="13"/>
        <v>-331000</v>
      </c>
    </row>
    <row r="155" spans="1:15" ht="15.75" x14ac:dyDescent="0.25">
      <c r="A155" s="32" t="s">
        <v>94</v>
      </c>
      <c r="B155" s="32" t="s">
        <v>336</v>
      </c>
      <c r="C155" s="33" t="s">
        <v>284</v>
      </c>
      <c r="D155" s="34">
        <v>45839</v>
      </c>
      <c r="E155" s="35">
        <v>19700</v>
      </c>
      <c r="F155" s="36">
        <v>0</v>
      </c>
      <c r="G155" s="36">
        <v>0</v>
      </c>
      <c r="H155" s="36">
        <v>637000</v>
      </c>
      <c r="I155" s="36">
        <v>530000</v>
      </c>
      <c r="J155" s="36">
        <v>457000</v>
      </c>
      <c r="K155" s="38">
        <f t="shared" si="14"/>
        <v>0</v>
      </c>
      <c r="L155" s="38">
        <f t="shared" si="10"/>
        <v>0</v>
      </c>
      <c r="M155" s="38">
        <f t="shared" si="11"/>
        <v>-620000</v>
      </c>
      <c r="N155" s="38">
        <f t="shared" si="12"/>
        <v>-515000</v>
      </c>
      <c r="O155" s="38">
        <f t="shared" si="13"/>
        <v>-444000</v>
      </c>
    </row>
    <row r="156" spans="1:15" ht="15.75" x14ac:dyDescent="0.25">
      <c r="A156" s="32" t="s">
        <v>94</v>
      </c>
      <c r="B156" s="32" t="s">
        <v>95</v>
      </c>
      <c r="C156" s="33" t="s">
        <v>284</v>
      </c>
      <c r="D156" s="34">
        <v>45839</v>
      </c>
      <c r="E156" s="35">
        <v>19700</v>
      </c>
      <c r="F156" s="36">
        <v>0</v>
      </c>
      <c r="G156" s="36">
        <v>0</v>
      </c>
      <c r="H156" s="36">
        <v>478000</v>
      </c>
      <c r="I156" s="36">
        <v>403000</v>
      </c>
      <c r="J156" s="36">
        <v>340000</v>
      </c>
      <c r="K156" s="38">
        <f t="shared" si="14"/>
        <v>0</v>
      </c>
      <c r="L156" s="38">
        <f t="shared" si="10"/>
        <v>0</v>
      </c>
      <c r="M156" s="38">
        <f t="shared" si="11"/>
        <v>-465000</v>
      </c>
      <c r="N156" s="38">
        <f t="shared" si="12"/>
        <v>-392000</v>
      </c>
      <c r="O156" s="38">
        <f t="shared" si="13"/>
        <v>-331000</v>
      </c>
    </row>
    <row r="157" spans="1:15" ht="15.75" x14ac:dyDescent="0.25">
      <c r="A157" s="32" t="s">
        <v>94</v>
      </c>
      <c r="B157" s="32" t="s">
        <v>380</v>
      </c>
      <c r="C157" s="33" t="s">
        <v>284</v>
      </c>
      <c r="D157" s="34">
        <v>45839</v>
      </c>
      <c r="E157" s="35">
        <v>19700</v>
      </c>
      <c r="F157" s="36">
        <v>0</v>
      </c>
      <c r="G157" s="36">
        <v>0</v>
      </c>
      <c r="H157" s="36">
        <v>562000</v>
      </c>
      <c r="I157" s="36">
        <v>530000</v>
      </c>
      <c r="J157" s="36">
        <v>424000</v>
      </c>
      <c r="K157" s="38">
        <f t="shared" si="14"/>
        <v>0</v>
      </c>
      <c r="L157" s="38">
        <f t="shared" si="10"/>
        <v>0</v>
      </c>
      <c r="M157" s="38">
        <f t="shared" si="11"/>
        <v>-547000</v>
      </c>
      <c r="N157" s="38">
        <f t="shared" si="12"/>
        <v>-515000</v>
      </c>
      <c r="O157" s="38">
        <f t="shared" si="13"/>
        <v>-412000</v>
      </c>
    </row>
    <row r="158" spans="1:15" ht="15.75" x14ac:dyDescent="0.25">
      <c r="A158" s="32" t="s">
        <v>94</v>
      </c>
      <c r="B158" s="32" t="s">
        <v>337</v>
      </c>
      <c r="C158" s="33" t="s">
        <v>284</v>
      </c>
      <c r="D158" s="34">
        <v>45839</v>
      </c>
      <c r="E158" s="35">
        <v>19700</v>
      </c>
      <c r="F158" s="36">
        <v>0</v>
      </c>
      <c r="G158" s="36">
        <v>0</v>
      </c>
      <c r="H158" s="36">
        <v>691000</v>
      </c>
      <c r="I158" s="36">
        <v>552000</v>
      </c>
      <c r="J158" s="36">
        <v>478000</v>
      </c>
      <c r="K158" s="38">
        <f t="shared" si="14"/>
        <v>0</v>
      </c>
      <c r="L158" s="38">
        <f t="shared" si="10"/>
        <v>0</v>
      </c>
      <c r="M158" s="38">
        <f t="shared" si="11"/>
        <v>-672000</v>
      </c>
      <c r="N158" s="38">
        <f t="shared" si="12"/>
        <v>-537000</v>
      </c>
      <c r="O158" s="38">
        <f t="shared" si="13"/>
        <v>-465000</v>
      </c>
    </row>
    <row r="159" spans="1:15" ht="15.75" x14ac:dyDescent="0.25">
      <c r="A159" s="32" t="s">
        <v>94</v>
      </c>
      <c r="B159" s="32" t="s">
        <v>97</v>
      </c>
      <c r="C159" s="33" t="s">
        <v>284</v>
      </c>
      <c r="D159" s="34">
        <v>45839</v>
      </c>
      <c r="E159" s="35">
        <v>19700</v>
      </c>
      <c r="F159" s="36">
        <v>0</v>
      </c>
      <c r="G159" s="36">
        <v>0</v>
      </c>
      <c r="H159" s="36">
        <v>521000</v>
      </c>
      <c r="I159" s="36">
        <v>446000</v>
      </c>
      <c r="J159" s="36">
        <v>393000</v>
      </c>
      <c r="K159" s="38">
        <f t="shared" si="14"/>
        <v>0</v>
      </c>
      <c r="L159" s="38">
        <f t="shared" si="10"/>
        <v>0</v>
      </c>
      <c r="M159" s="38">
        <f t="shared" si="11"/>
        <v>-507000</v>
      </c>
      <c r="N159" s="38">
        <f t="shared" si="12"/>
        <v>-434000</v>
      </c>
      <c r="O159" s="38">
        <f t="shared" si="13"/>
        <v>-382000</v>
      </c>
    </row>
    <row r="160" spans="1:15" ht="15.75" x14ac:dyDescent="0.25">
      <c r="A160" s="32" t="s">
        <v>94</v>
      </c>
      <c r="B160" s="32" t="s">
        <v>328</v>
      </c>
      <c r="C160" s="33" t="s">
        <v>284</v>
      </c>
      <c r="D160" s="34">
        <v>45839</v>
      </c>
      <c r="E160" s="35">
        <v>19700</v>
      </c>
      <c r="F160" s="36">
        <v>0</v>
      </c>
      <c r="G160" s="36">
        <v>0</v>
      </c>
      <c r="H160" s="36">
        <v>452000</v>
      </c>
      <c r="I160" s="36">
        <v>393000</v>
      </c>
      <c r="J160" s="36">
        <v>340000</v>
      </c>
      <c r="K160" s="38">
        <f t="shared" si="14"/>
        <v>0</v>
      </c>
      <c r="L160" s="38">
        <f t="shared" si="10"/>
        <v>0</v>
      </c>
      <c r="M160" s="38">
        <f t="shared" si="11"/>
        <v>-440000</v>
      </c>
      <c r="N160" s="38">
        <f t="shared" si="12"/>
        <v>-382000</v>
      </c>
      <c r="O160" s="38">
        <f t="shared" si="13"/>
        <v>-331000</v>
      </c>
    </row>
    <row r="161" spans="1:15" ht="15.75" x14ac:dyDescent="0.25">
      <c r="A161" s="32" t="s">
        <v>94</v>
      </c>
      <c r="B161" s="32" t="s">
        <v>383</v>
      </c>
      <c r="C161" s="33" t="s">
        <v>284</v>
      </c>
      <c r="D161" s="34">
        <v>45839</v>
      </c>
      <c r="E161" s="35">
        <v>19700</v>
      </c>
      <c r="F161" s="36">
        <v>0</v>
      </c>
      <c r="G161" s="36">
        <v>0</v>
      </c>
      <c r="H161" s="36">
        <v>521000</v>
      </c>
      <c r="I161" s="36">
        <v>446000</v>
      </c>
      <c r="J161" s="36">
        <v>393000</v>
      </c>
      <c r="K161" s="38">
        <f t="shared" si="14"/>
        <v>0</v>
      </c>
      <c r="L161" s="38">
        <f t="shared" si="10"/>
        <v>0</v>
      </c>
      <c r="M161" s="38">
        <f t="shared" si="11"/>
        <v>-507000</v>
      </c>
      <c r="N161" s="38">
        <f t="shared" si="12"/>
        <v>-434000</v>
      </c>
      <c r="O161" s="38">
        <f t="shared" si="13"/>
        <v>-382000</v>
      </c>
    </row>
    <row r="162" spans="1:15" ht="15.75" x14ac:dyDescent="0.25">
      <c r="A162" s="32" t="s">
        <v>94</v>
      </c>
      <c r="B162" s="32" t="s">
        <v>59</v>
      </c>
      <c r="C162" s="33" t="s">
        <v>284</v>
      </c>
      <c r="D162" s="34">
        <v>45839</v>
      </c>
      <c r="E162" s="35">
        <v>19700</v>
      </c>
      <c r="F162" s="36">
        <v>0</v>
      </c>
      <c r="G162" s="36">
        <v>0</v>
      </c>
      <c r="H162" s="36">
        <v>424000</v>
      </c>
      <c r="I162" s="36">
        <v>372000</v>
      </c>
      <c r="J162" s="36">
        <v>298000</v>
      </c>
      <c r="K162" s="38">
        <f t="shared" si="14"/>
        <v>0</v>
      </c>
      <c r="L162" s="38">
        <f t="shared" si="10"/>
        <v>0</v>
      </c>
      <c r="M162" s="38">
        <f t="shared" si="11"/>
        <v>-412000</v>
      </c>
      <c r="N162" s="38">
        <f t="shared" si="12"/>
        <v>-362000</v>
      </c>
      <c r="O162" s="38">
        <f t="shared" si="13"/>
        <v>-290000</v>
      </c>
    </row>
    <row r="163" spans="1:15" ht="15.75" x14ac:dyDescent="0.25">
      <c r="A163" s="32" t="s">
        <v>94</v>
      </c>
      <c r="B163" s="37" t="s">
        <v>381</v>
      </c>
      <c r="C163" s="33" t="s">
        <v>284</v>
      </c>
      <c r="D163" s="34">
        <v>45839</v>
      </c>
      <c r="E163" s="35">
        <v>19700</v>
      </c>
      <c r="F163" s="36">
        <v>0</v>
      </c>
      <c r="G163" s="36">
        <v>0</v>
      </c>
      <c r="H163" s="36">
        <v>562000</v>
      </c>
      <c r="I163" s="36">
        <v>530000</v>
      </c>
      <c r="J163" s="36">
        <v>424000</v>
      </c>
      <c r="K163" s="38">
        <f t="shared" si="14"/>
        <v>0</v>
      </c>
      <c r="L163" s="38">
        <f t="shared" si="10"/>
        <v>0</v>
      </c>
      <c r="M163" s="38">
        <f t="shared" si="11"/>
        <v>-547000</v>
      </c>
      <c r="N163" s="38">
        <f t="shared" si="12"/>
        <v>-515000</v>
      </c>
      <c r="O163" s="38">
        <f t="shared" si="13"/>
        <v>-412000</v>
      </c>
    </row>
    <row r="164" spans="1:15" ht="15.75" x14ac:dyDescent="0.25">
      <c r="A164" s="32" t="s">
        <v>94</v>
      </c>
      <c r="B164" s="32" t="s">
        <v>329</v>
      </c>
      <c r="C164" s="33" t="s">
        <v>284</v>
      </c>
      <c r="D164" s="34">
        <v>45839</v>
      </c>
      <c r="E164" s="35">
        <v>19700</v>
      </c>
      <c r="F164" s="36">
        <v>0</v>
      </c>
      <c r="G164" s="36">
        <v>0</v>
      </c>
      <c r="H164" s="36">
        <v>452000</v>
      </c>
      <c r="I164" s="36">
        <v>393000</v>
      </c>
      <c r="J164" s="36">
        <v>340000</v>
      </c>
      <c r="K164" s="38">
        <f t="shared" si="14"/>
        <v>0</v>
      </c>
      <c r="L164" s="38">
        <f t="shared" si="10"/>
        <v>0</v>
      </c>
      <c r="M164" s="38">
        <f t="shared" si="11"/>
        <v>-440000</v>
      </c>
      <c r="N164" s="38">
        <f t="shared" si="12"/>
        <v>-382000</v>
      </c>
      <c r="O164" s="38">
        <f t="shared" si="13"/>
        <v>-331000</v>
      </c>
    </row>
    <row r="165" spans="1:15" ht="15.75" x14ac:dyDescent="0.25">
      <c r="A165" s="32" t="s">
        <v>94</v>
      </c>
      <c r="B165" s="32" t="s">
        <v>332</v>
      </c>
      <c r="C165" s="33" t="s">
        <v>284</v>
      </c>
      <c r="D165" s="34">
        <v>45839</v>
      </c>
      <c r="E165" s="35">
        <v>19700</v>
      </c>
      <c r="F165" s="36">
        <v>0</v>
      </c>
      <c r="G165" s="36">
        <v>0</v>
      </c>
      <c r="H165" s="36">
        <v>556000</v>
      </c>
      <c r="I165" s="36">
        <v>489000</v>
      </c>
      <c r="J165" s="36">
        <v>393000</v>
      </c>
      <c r="K165" s="38">
        <f t="shared" si="14"/>
        <v>0</v>
      </c>
      <c r="L165" s="38">
        <f t="shared" si="10"/>
        <v>0</v>
      </c>
      <c r="M165" s="38">
        <f t="shared" si="11"/>
        <v>-541000</v>
      </c>
      <c r="N165" s="38">
        <f t="shared" si="12"/>
        <v>-476000</v>
      </c>
      <c r="O165" s="38">
        <f t="shared" si="13"/>
        <v>-382000</v>
      </c>
    </row>
    <row r="166" spans="1:15" ht="15.75" x14ac:dyDescent="0.25">
      <c r="A166" s="32" t="s">
        <v>94</v>
      </c>
      <c r="B166" s="32" t="s">
        <v>384</v>
      </c>
      <c r="C166" s="33" t="s">
        <v>284</v>
      </c>
      <c r="D166" s="34">
        <v>45839</v>
      </c>
      <c r="E166" s="35">
        <v>19700</v>
      </c>
      <c r="F166" s="36">
        <v>0</v>
      </c>
      <c r="G166" s="36">
        <v>0</v>
      </c>
      <c r="H166" s="36">
        <v>521000</v>
      </c>
      <c r="I166" s="36">
        <v>446000</v>
      </c>
      <c r="J166" s="36">
        <v>393000</v>
      </c>
      <c r="K166" s="38">
        <f t="shared" si="14"/>
        <v>0</v>
      </c>
      <c r="L166" s="38">
        <f t="shared" si="10"/>
        <v>0</v>
      </c>
      <c r="M166" s="38">
        <f t="shared" si="11"/>
        <v>-507000</v>
      </c>
      <c r="N166" s="38">
        <f t="shared" si="12"/>
        <v>-434000</v>
      </c>
      <c r="O166" s="38">
        <f t="shared" si="13"/>
        <v>-382000</v>
      </c>
    </row>
    <row r="167" spans="1:15" ht="15.75" x14ac:dyDescent="0.25">
      <c r="A167" s="32" t="s">
        <v>94</v>
      </c>
      <c r="B167" s="32" t="s">
        <v>330</v>
      </c>
      <c r="C167" s="33" t="s">
        <v>284</v>
      </c>
      <c r="D167" s="34">
        <v>45839</v>
      </c>
      <c r="E167" s="35">
        <v>19700</v>
      </c>
      <c r="F167" s="36">
        <v>0</v>
      </c>
      <c r="G167" s="36">
        <v>0</v>
      </c>
      <c r="H167" s="36">
        <v>452000</v>
      </c>
      <c r="I167" s="36">
        <v>393000</v>
      </c>
      <c r="J167" s="36">
        <v>340000</v>
      </c>
      <c r="K167" s="38">
        <f t="shared" si="14"/>
        <v>0</v>
      </c>
      <c r="L167" s="38">
        <f t="shared" si="10"/>
        <v>0</v>
      </c>
      <c r="M167" s="38">
        <f t="shared" si="11"/>
        <v>-440000</v>
      </c>
      <c r="N167" s="38">
        <f t="shared" si="12"/>
        <v>-382000</v>
      </c>
      <c r="O167" s="38">
        <f t="shared" si="13"/>
        <v>-331000</v>
      </c>
    </row>
    <row r="168" spans="1:15" ht="15.75" x14ac:dyDescent="0.25">
      <c r="A168" s="32" t="s">
        <v>94</v>
      </c>
      <c r="B168" s="32" t="s">
        <v>331</v>
      </c>
      <c r="C168" s="33" t="s">
        <v>284</v>
      </c>
      <c r="D168" s="34">
        <v>45839</v>
      </c>
      <c r="E168" s="35">
        <v>19700</v>
      </c>
      <c r="F168" s="36">
        <v>0</v>
      </c>
      <c r="G168" s="36">
        <v>0</v>
      </c>
      <c r="H168" s="36">
        <v>452000</v>
      </c>
      <c r="I168" s="36">
        <v>393000</v>
      </c>
      <c r="J168" s="36">
        <v>340000</v>
      </c>
      <c r="K168" s="38">
        <f t="shared" si="14"/>
        <v>0</v>
      </c>
      <c r="L168" s="38">
        <f t="shared" si="10"/>
        <v>0</v>
      </c>
      <c r="M168" s="38">
        <f t="shared" si="11"/>
        <v>-440000</v>
      </c>
      <c r="N168" s="38">
        <f t="shared" si="12"/>
        <v>-382000</v>
      </c>
      <c r="O168" s="38">
        <f t="shared" si="13"/>
        <v>-331000</v>
      </c>
    </row>
    <row r="169" spans="1:15" ht="15.75" x14ac:dyDescent="0.25">
      <c r="A169" s="32" t="s">
        <v>94</v>
      </c>
      <c r="B169" s="37" t="s">
        <v>382</v>
      </c>
      <c r="C169" s="33" t="s">
        <v>284</v>
      </c>
      <c r="D169" s="34">
        <v>45839</v>
      </c>
      <c r="E169" s="35">
        <v>19700</v>
      </c>
      <c r="F169" s="36">
        <v>0</v>
      </c>
      <c r="G169" s="36">
        <v>0</v>
      </c>
      <c r="H169" s="36">
        <v>562000</v>
      </c>
      <c r="I169" s="36">
        <v>530000</v>
      </c>
      <c r="J169" s="36">
        <v>424000</v>
      </c>
      <c r="K169" s="38">
        <f t="shared" si="14"/>
        <v>0</v>
      </c>
      <c r="L169" s="38">
        <f t="shared" si="10"/>
        <v>0</v>
      </c>
      <c r="M169" s="38">
        <f t="shared" si="11"/>
        <v>-547000</v>
      </c>
      <c r="N169" s="38">
        <f t="shared" si="12"/>
        <v>-515000</v>
      </c>
      <c r="O169" s="38">
        <f t="shared" si="13"/>
        <v>-412000</v>
      </c>
    </row>
    <row r="170" spans="1:15" ht="15.75" hidden="1" x14ac:dyDescent="0.25">
      <c r="A170" s="32" t="s">
        <v>13</v>
      </c>
      <c r="B170" s="32" t="s">
        <v>284</v>
      </c>
      <c r="C170" s="33" t="s">
        <v>284</v>
      </c>
      <c r="D170" s="34">
        <v>45839</v>
      </c>
      <c r="E170" s="35">
        <v>19700</v>
      </c>
      <c r="F170" s="36">
        <v>0</v>
      </c>
      <c r="G170" s="36">
        <v>0</v>
      </c>
      <c r="H170" s="36">
        <v>1221000</v>
      </c>
      <c r="I170" s="36">
        <v>1167000</v>
      </c>
      <c r="J170" s="36">
        <v>1062000</v>
      </c>
      <c r="K170" s="38">
        <f t="shared" si="14"/>
        <v>0</v>
      </c>
      <c r="L170" s="38">
        <f t="shared" si="10"/>
        <v>0</v>
      </c>
      <c r="M170" s="38">
        <f t="shared" si="11"/>
        <v>-1188000</v>
      </c>
      <c r="N170" s="38">
        <f t="shared" si="12"/>
        <v>-1135000</v>
      </c>
      <c r="O170" s="38">
        <f t="shared" si="13"/>
        <v>-1033000</v>
      </c>
    </row>
    <row r="171" spans="1:15" ht="15.75" hidden="1" x14ac:dyDescent="0.25">
      <c r="A171" s="32" t="s">
        <v>13</v>
      </c>
      <c r="B171" s="32" t="s">
        <v>377</v>
      </c>
      <c r="C171" s="33" t="s">
        <v>284</v>
      </c>
      <c r="D171" s="34">
        <v>45839</v>
      </c>
      <c r="E171" s="35">
        <v>19700</v>
      </c>
      <c r="F171" s="36">
        <v>0</v>
      </c>
      <c r="G171" s="36">
        <v>0</v>
      </c>
      <c r="H171" s="36">
        <v>955000</v>
      </c>
      <c r="I171" s="36">
        <v>912000</v>
      </c>
      <c r="J171" s="36">
        <v>849000</v>
      </c>
      <c r="K171" s="38">
        <f t="shared" si="14"/>
        <v>0</v>
      </c>
      <c r="L171" s="38">
        <f t="shared" si="10"/>
        <v>0</v>
      </c>
      <c r="M171" s="38">
        <f t="shared" si="11"/>
        <v>-929000</v>
      </c>
      <c r="N171" s="38">
        <f t="shared" si="12"/>
        <v>-887000</v>
      </c>
      <c r="O171" s="38">
        <f t="shared" si="13"/>
        <v>-826000</v>
      </c>
    </row>
    <row r="172" spans="1:15" ht="15.75" hidden="1" x14ac:dyDescent="0.25">
      <c r="A172" s="32" t="s">
        <v>13</v>
      </c>
      <c r="B172" s="32" t="s">
        <v>378</v>
      </c>
      <c r="C172" s="33" t="s">
        <v>284</v>
      </c>
      <c r="D172" s="34">
        <v>45839</v>
      </c>
      <c r="E172" s="35">
        <v>19700</v>
      </c>
      <c r="F172" s="36">
        <v>0</v>
      </c>
      <c r="G172" s="36">
        <v>0</v>
      </c>
      <c r="H172" s="36">
        <v>955000</v>
      </c>
      <c r="I172" s="36">
        <v>912000</v>
      </c>
      <c r="J172" s="36">
        <v>849000</v>
      </c>
      <c r="K172" s="38">
        <f t="shared" si="14"/>
        <v>0</v>
      </c>
      <c r="L172" s="38">
        <f t="shared" si="10"/>
        <v>0</v>
      </c>
      <c r="M172" s="38">
        <f t="shared" si="11"/>
        <v>-929000</v>
      </c>
      <c r="N172" s="38">
        <f t="shared" si="12"/>
        <v>-887000</v>
      </c>
      <c r="O172" s="38">
        <f t="shared" si="13"/>
        <v>-826000</v>
      </c>
    </row>
    <row r="173" spans="1:15" ht="15.75" hidden="1" x14ac:dyDescent="0.25">
      <c r="A173" s="32" t="s">
        <v>13</v>
      </c>
      <c r="B173" s="32" t="s">
        <v>11</v>
      </c>
      <c r="C173" s="33" t="s">
        <v>284</v>
      </c>
      <c r="D173" s="34">
        <v>45839</v>
      </c>
      <c r="E173" s="35">
        <v>19700</v>
      </c>
      <c r="F173" s="36">
        <v>0</v>
      </c>
      <c r="G173" s="36">
        <v>0</v>
      </c>
      <c r="H173" s="36">
        <v>955000</v>
      </c>
      <c r="I173" s="36">
        <v>912000</v>
      </c>
      <c r="J173" s="36">
        <v>849000</v>
      </c>
      <c r="K173" s="38">
        <f t="shared" si="14"/>
        <v>0</v>
      </c>
      <c r="L173" s="38">
        <f t="shared" si="10"/>
        <v>0</v>
      </c>
      <c r="M173" s="38">
        <f t="shared" si="11"/>
        <v>-929000</v>
      </c>
      <c r="N173" s="38">
        <f t="shared" si="12"/>
        <v>-887000</v>
      </c>
      <c r="O173" s="38">
        <f t="shared" si="13"/>
        <v>-826000</v>
      </c>
    </row>
    <row r="174" spans="1:15" ht="15.75" hidden="1" x14ac:dyDescent="0.25">
      <c r="A174" s="32" t="s">
        <v>17</v>
      </c>
      <c r="B174" s="32" t="s">
        <v>284</v>
      </c>
      <c r="C174" s="33" t="s">
        <v>284</v>
      </c>
      <c r="D174" s="34">
        <v>45839</v>
      </c>
      <c r="E174" s="35">
        <v>19700</v>
      </c>
      <c r="F174" s="36">
        <v>0</v>
      </c>
      <c r="G174" s="36">
        <v>0</v>
      </c>
      <c r="H174" s="36">
        <v>1487000</v>
      </c>
      <c r="I174" s="36">
        <v>1380000</v>
      </c>
      <c r="J174" s="36">
        <v>1273000</v>
      </c>
      <c r="K174" s="38">
        <f t="shared" si="14"/>
        <v>0</v>
      </c>
      <c r="L174" s="38">
        <f t="shared" si="10"/>
        <v>0</v>
      </c>
      <c r="M174" s="38">
        <f t="shared" si="11"/>
        <v>-1446000</v>
      </c>
      <c r="N174" s="38">
        <f t="shared" si="12"/>
        <v>-1342000</v>
      </c>
      <c r="O174" s="38">
        <f t="shared" si="13"/>
        <v>-1238000</v>
      </c>
    </row>
    <row r="175" spans="1:15" ht="15.75" hidden="1" x14ac:dyDescent="0.25">
      <c r="A175" s="32" t="s">
        <v>9</v>
      </c>
      <c r="B175" s="37" t="s">
        <v>397</v>
      </c>
      <c r="C175" s="33" t="s">
        <v>284</v>
      </c>
      <c r="D175" s="34">
        <v>45839</v>
      </c>
      <c r="E175" s="35">
        <v>19700</v>
      </c>
      <c r="F175" s="36">
        <v>691000</v>
      </c>
      <c r="G175" s="36">
        <v>0</v>
      </c>
      <c r="H175" s="36">
        <v>138000</v>
      </c>
      <c r="I175" s="36">
        <v>138000</v>
      </c>
      <c r="J175" s="36">
        <v>127000</v>
      </c>
      <c r="K175" s="38">
        <f t="shared" si="14"/>
        <v>-672000</v>
      </c>
      <c r="L175" s="38">
        <f t="shared" si="10"/>
        <v>0</v>
      </c>
      <c r="M175" s="38">
        <f t="shared" si="11"/>
        <v>-134000</v>
      </c>
      <c r="N175" s="38">
        <f t="shared" si="12"/>
        <v>-134000</v>
      </c>
      <c r="O175" s="38">
        <f t="shared" si="13"/>
        <v>-124000</v>
      </c>
    </row>
    <row r="176" spans="1:15" ht="15.75" hidden="1" x14ac:dyDescent="0.25">
      <c r="A176" s="32" t="s">
        <v>9</v>
      </c>
      <c r="B176" s="32" t="s">
        <v>408</v>
      </c>
      <c r="C176" s="33" t="s">
        <v>284</v>
      </c>
      <c r="D176" s="34">
        <v>45839</v>
      </c>
      <c r="E176" s="35">
        <v>19700</v>
      </c>
      <c r="F176" s="36">
        <v>0</v>
      </c>
      <c r="G176" s="36">
        <v>0</v>
      </c>
      <c r="H176" s="36">
        <v>372000</v>
      </c>
      <c r="I176" s="36">
        <v>276000</v>
      </c>
      <c r="J176" s="36">
        <v>266000</v>
      </c>
      <c r="K176" s="38">
        <f t="shared" si="14"/>
        <v>0</v>
      </c>
      <c r="L176" s="38">
        <f t="shared" si="10"/>
        <v>0</v>
      </c>
      <c r="M176" s="38">
        <f t="shared" si="11"/>
        <v>-362000</v>
      </c>
      <c r="N176" s="38">
        <f t="shared" si="12"/>
        <v>-268000</v>
      </c>
      <c r="O176" s="38">
        <f t="shared" si="13"/>
        <v>-259000</v>
      </c>
    </row>
    <row r="177" spans="1:15" ht="15.75" hidden="1" x14ac:dyDescent="0.25">
      <c r="A177" s="32" t="s">
        <v>9</v>
      </c>
      <c r="B177" s="32" t="s">
        <v>385</v>
      </c>
      <c r="C177" s="33" t="s">
        <v>284</v>
      </c>
      <c r="D177" s="34">
        <v>45839</v>
      </c>
      <c r="E177" s="35">
        <v>19700</v>
      </c>
      <c r="F177" s="36">
        <v>1167000</v>
      </c>
      <c r="G177" s="36">
        <v>0</v>
      </c>
      <c r="H177" s="36">
        <v>276000</v>
      </c>
      <c r="I177" s="36">
        <v>276000</v>
      </c>
      <c r="J177" s="36">
        <v>234000</v>
      </c>
      <c r="K177" s="38">
        <f t="shared" si="14"/>
        <v>-1135000</v>
      </c>
      <c r="L177" s="38">
        <f t="shared" si="10"/>
        <v>0</v>
      </c>
      <c r="M177" s="38">
        <f t="shared" si="11"/>
        <v>-268000</v>
      </c>
      <c r="N177" s="38">
        <f t="shared" si="12"/>
        <v>-268000</v>
      </c>
      <c r="O177" s="38">
        <f t="shared" si="13"/>
        <v>-228000</v>
      </c>
    </row>
    <row r="178" spans="1:15" ht="15.75" hidden="1" x14ac:dyDescent="0.25">
      <c r="A178" s="32" t="s">
        <v>9</v>
      </c>
      <c r="B178" s="32" t="s">
        <v>386</v>
      </c>
      <c r="C178" s="33" t="s">
        <v>284</v>
      </c>
      <c r="D178" s="34">
        <v>45839</v>
      </c>
      <c r="E178" s="35">
        <v>19700</v>
      </c>
      <c r="F178" s="36">
        <v>1167000</v>
      </c>
      <c r="G178" s="36">
        <v>0</v>
      </c>
      <c r="H178" s="36">
        <v>276000</v>
      </c>
      <c r="I178" s="36">
        <v>276000</v>
      </c>
      <c r="J178" s="36">
        <v>234000</v>
      </c>
      <c r="K178" s="38">
        <f t="shared" si="14"/>
        <v>-1135000</v>
      </c>
      <c r="L178" s="38">
        <f t="shared" si="10"/>
        <v>0</v>
      </c>
      <c r="M178" s="38">
        <f t="shared" si="11"/>
        <v>-268000</v>
      </c>
      <c r="N178" s="38">
        <f t="shared" si="12"/>
        <v>-268000</v>
      </c>
      <c r="O178" s="38">
        <f t="shared" si="13"/>
        <v>-228000</v>
      </c>
    </row>
    <row r="179" spans="1:15" ht="15.75" hidden="1" x14ac:dyDescent="0.25">
      <c r="A179" s="32" t="s">
        <v>9</v>
      </c>
      <c r="B179" s="32" t="s">
        <v>387</v>
      </c>
      <c r="C179" s="33" t="s">
        <v>284</v>
      </c>
      <c r="D179" s="34">
        <v>45839</v>
      </c>
      <c r="E179" s="35">
        <v>19700</v>
      </c>
      <c r="F179" s="36">
        <v>1167000</v>
      </c>
      <c r="G179" s="36">
        <v>0</v>
      </c>
      <c r="H179" s="36">
        <v>276000</v>
      </c>
      <c r="I179" s="36">
        <v>276000</v>
      </c>
      <c r="J179" s="36">
        <v>234000</v>
      </c>
      <c r="K179" s="38">
        <f t="shared" si="14"/>
        <v>-1135000</v>
      </c>
      <c r="L179" s="38">
        <f t="shared" si="10"/>
        <v>0</v>
      </c>
      <c r="M179" s="38">
        <f t="shared" si="11"/>
        <v>-268000</v>
      </c>
      <c r="N179" s="38">
        <f t="shared" si="12"/>
        <v>-268000</v>
      </c>
      <c r="O179" s="38">
        <f t="shared" si="13"/>
        <v>-228000</v>
      </c>
    </row>
    <row r="180" spans="1:15" ht="15.75" hidden="1" x14ac:dyDescent="0.25">
      <c r="A180" s="32" t="s">
        <v>9</v>
      </c>
      <c r="B180" s="32" t="s">
        <v>337</v>
      </c>
      <c r="C180" s="33" t="s">
        <v>284</v>
      </c>
      <c r="D180" s="34">
        <v>45839</v>
      </c>
      <c r="E180" s="35">
        <v>19700</v>
      </c>
      <c r="F180" s="36">
        <v>1167000</v>
      </c>
      <c r="G180" s="36">
        <v>0</v>
      </c>
      <c r="H180" s="36">
        <v>276000</v>
      </c>
      <c r="I180" s="36">
        <v>276000</v>
      </c>
      <c r="J180" s="36">
        <v>234000</v>
      </c>
      <c r="K180" s="38">
        <f t="shared" si="14"/>
        <v>-1135000</v>
      </c>
      <c r="L180" s="38">
        <f t="shared" si="10"/>
        <v>0</v>
      </c>
      <c r="M180" s="38">
        <f t="shared" si="11"/>
        <v>-268000</v>
      </c>
      <c r="N180" s="38">
        <f t="shared" si="12"/>
        <v>-268000</v>
      </c>
      <c r="O180" s="38">
        <f t="shared" si="13"/>
        <v>-228000</v>
      </c>
    </row>
    <row r="181" spans="1:15" ht="15.75" hidden="1" x14ac:dyDescent="0.25">
      <c r="A181" s="32" t="s">
        <v>9</v>
      </c>
      <c r="B181" s="32" t="s">
        <v>100</v>
      </c>
      <c r="C181" s="33" t="s">
        <v>284</v>
      </c>
      <c r="D181" s="34">
        <v>45839</v>
      </c>
      <c r="E181" s="35">
        <v>19700</v>
      </c>
      <c r="F181" s="36">
        <v>0</v>
      </c>
      <c r="G181" s="36">
        <v>0</v>
      </c>
      <c r="H181" s="36">
        <v>372000</v>
      </c>
      <c r="I181" s="36">
        <v>276000</v>
      </c>
      <c r="J181" s="36">
        <v>266000</v>
      </c>
      <c r="K181" s="38">
        <f t="shared" si="14"/>
        <v>0</v>
      </c>
      <c r="L181" s="38">
        <f t="shared" si="10"/>
        <v>0</v>
      </c>
      <c r="M181" s="38">
        <f t="shared" si="11"/>
        <v>-362000</v>
      </c>
      <c r="N181" s="38">
        <f t="shared" si="12"/>
        <v>-268000</v>
      </c>
      <c r="O181" s="38">
        <f t="shared" si="13"/>
        <v>-259000</v>
      </c>
    </row>
    <row r="182" spans="1:15" ht="15.75" hidden="1" x14ac:dyDescent="0.25">
      <c r="A182" s="32" t="s">
        <v>9</v>
      </c>
      <c r="B182" s="32" t="s">
        <v>388</v>
      </c>
      <c r="C182" s="33" t="s">
        <v>284</v>
      </c>
      <c r="D182" s="34">
        <v>45839</v>
      </c>
      <c r="E182" s="35">
        <v>19700</v>
      </c>
      <c r="F182" s="36">
        <v>1167000</v>
      </c>
      <c r="G182" s="36">
        <v>0</v>
      </c>
      <c r="H182" s="36">
        <v>276000</v>
      </c>
      <c r="I182" s="36">
        <v>276000</v>
      </c>
      <c r="J182" s="36">
        <v>234000</v>
      </c>
      <c r="K182" s="38">
        <f t="shared" si="14"/>
        <v>-1135000</v>
      </c>
      <c r="L182" s="38">
        <f t="shared" si="10"/>
        <v>0</v>
      </c>
      <c r="M182" s="38">
        <f t="shared" si="11"/>
        <v>-268000</v>
      </c>
      <c r="N182" s="38">
        <f t="shared" si="12"/>
        <v>-268000</v>
      </c>
      <c r="O182" s="38">
        <f t="shared" si="13"/>
        <v>-228000</v>
      </c>
    </row>
    <row r="183" spans="1:15" ht="15.75" hidden="1" x14ac:dyDescent="0.25">
      <c r="A183" s="32" t="s">
        <v>9</v>
      </c>
      <c r="B183" s="32" t="s">
        <v>389</v>
      </c>
      <c r="C183" s="33" t="s">
        <v>284</v>
      </c>
      <c r="D183" s="34">
        <v>45839</v>
      </c>
      <c r="E183" s="35">
        <v>19700</v>
      </c>
      <c r="F183" s="36">
        <v>1167000</v>
      </c>
      <c r="G183" s="36">
        <v>0</v>
      </c>
      <c r="H183" s="36">
        <v>276000</v>
      </c>
      <c r="I183" s="36">
        <v>276000</v>
      </c>
      <c r="J183" s="36">
        <v>234000</v>
      </c>
      <c r="K183" s="38">
        <f t="shared" si="14"/>
        <v>-1135000</v>
      </c>
      <c r="L183" s="38">
        <f t="shared" si="10"/>
        <v>0</v>
      </c>
      <c r="M183" s="38">
        <f t="shared" si="11"/>
        <v>-268000</v>
      </c>
      <c r="N183" s="38">
        <f t="shared" si="12"/>
        <v>-268000</v>
      </c>
      <c r="O183" s="38">
        <f t="shared" si="13"/>
        <v>-228000</v>
      </c>
    </row>
    <row r="184" spans="1:15" ht="15.75" hidden="1" x14ac:dyDescent="0.25">
      <c r="A184" s="32" t="s">
        <v>9</v>
      </c>
      <c r="B184" s="32" t="s">
        <v>101</v>
      </c>
      <c r="C184" s="33" t="s">
        <v>284</v>
      </c>
      <c r="D184" s="34">
        <v>45839</v>
      </c>
      <c r="E184" s="35">
        <v>19700</v>
      </c>
      <c r="F184" s="36">
        <v>0</v>
      </c>
      <c r="G184" s="36">
        <v>0</v>
      </c>
      <c r="H184" s="36">
        <v>372000</v>
      </c>
      <c r="I184" s="36">
        <v>276000</v>
      </c>
      <c r="J184" s="36">
        <v>266000</v>
      </c>
      <c r="K184" s="38">
        <f t="shared" si="14"/>
        <v>0</v>
      </c>
      <c r="L184" s="38">
        <f t="shared" si="10"/>
        <v>0</v>
      </c>
      <c r="M184" s="38">
        <f t="shared" si="11"/>
        <v>-362000</v>
      </c>
      <c r="N184" s="38">
        <f t="shared" si="12"/>
        <v>-268000</v>
      </c>
      <c r="O184" s="38">
        <f t="shared" si="13"/>
        <v>-259000</v>
      </c>
    </row>
    <row r="185" spans="1:15" ht="15.75" hidden="1" x14ac:dyDescent="0.25">
      <c r="A185" s="32" t="s">
        <v>9</v>
      </c>
      <c r="B185" s="32" t="s">
        <v>390</v>
      </c>
      <c r="C185" s="33" t="s">
        <v>284</v>
      </c>
      <c r="D185" s="34">
        <v>45839</v>
      </c>
      <c r="E185" s="35">
        <v>19700</v>
      </c>
      <c r="F185" s="36">
        <v>1167000</v>
      </c>
      <c r="G185" s="36">
        <v>0</v>
      </c>
      <c r="H185" s="36">
        <v>276000</v>
      </c>
      <c r="I185" s="36">
        <v>276000</v>
      </c>
      <c r="J185" s="36">
        <v>234000</v>
      </c>
      <c r="K185" s="38">
        <f t="shared" si="14"/>
        <v>-1135000</v>
      </c>
      <c r="L185" s="38">
        <f t="shared" si="10"/>
        <v>0</v>
      </c>
      <c r="M185" s="38">
        <f t="shared" si="11"/>
        <v>-268000</v>
      </c>
      <c r="N185" s="38">
        <f t="shared" si="12"/>
        <v>-268000</v>
      </c>
      <c r="O185" s="38">
        <f t="shared" si="13"/>
        <v>-228000</v>
      </c>
    </row>
    <row r="186" spans="1:15" ht="15.75" hidden="1" x14ac:dyDescent="0.25">
      <c r="A186" s="32" t="s">
        <v>9</v>
      </c>
      <c r="B186" s="32" t="s">
        <v>8</v>
      </c>
      <c r="C186" s="33" t="s">
        <v>284</v>
      </c>
      <c r="D186" s="34">
        <v>45839</v>
      </c>
      <c r="E186" s="35">
        <v>19700</v>
      </c>
      <c r="F186" s="36">
        <v>1167000</v>
      </c>
      <c r="G186" s="36">
        <v>0</v>
      </c>
      <c r="H186" s="36">
        <v>276000</v>
      </c>
      <c r="I186" s="36">
        <v>276000</v>
      </c>
      <c r="J186" s="36">
        <v>234000</v>
      </c>
      <c r="K186" s="38">
        <f t="shared" si="14"/>
        <v>-1135000</v>
      </c>
      <c r="L186" s="38">
        <f t="shared" si="10"/>
        <v>0</v>
      </c>
      <c r="M186" s="38">
        <f t="shared" si="11"/>
        <v>-268000</v>
      </c>
      <c r="N186" s="38">
        <f t="shared" si="12"/>
        <v>-268000</v>
      </c>
      <c r="O186" s="38">
        <f t="shared" si="13"/>
        <v>-228000</v>
      </c>
    </row>
    <row r="187" spans="1:15" ht="15.75" hidden="1" x14ac:dyDescent="0.25">
      <c r="A187" s="32" t="s">
        <v>9</v>
      </c>
      <c r="B187" s="32" t="s">
        <v>391</v>
      </c>
      <c r="C187" s="33" t="s">
        <v>284</v>
      </c>
      <c r="D187" s="34">
        <v>45839</v>
      </c>
      <c r="E187" s="35">
        <v>19700</v>
      </c>
      <c r="F187" s="36">
        <v>1167000</v>
      </c>
      <c r="G187" s="36">
        <v>0</v>
      </c>
      <c r="H187" s="36">
        <v>276000</v>
      </c>
      <c r="I187" s="36">
        <v>276000</v>
      </c>
      <c r="J187" s="36">
        <v>234000</v>
      </c>
      <c r="K187" s="38">
        <f t="shared" si="14"/>
        <v>-1135000</v>
      </c>
      <c r="L187" s="38">
        <f t="shared" si="10"/>
        <v>0</v>
      </c>
      <c r="M187" s="38">
        <f t="shared" si="11"/>
        <v>-268000</v>
      </c>
      <c r="N187" s="38">
        <f t="shared" si="12"/>
        <v>-268000</v>
      </c>
      <c r="O187" s="38">
        <f t="shared" si="13"/>
        <v>-228000</v>
      </c>
    </row>
    <row r="188" spans="1:15" ht="15.75" hidden="1" x14ac:dyDescent="0.25">
      <c r="A188" s="32" t="s">
        <v>9</v>
      </c>
      <c r="B188" s="32" t="s">
        <v>409</v>
      </c>
      <c r="C188" s="33" t="s">
        <v>284</v>
      </c>
      <c r="D188" s="34">
        <v>45839</v>
      </c>
      <c r="E188" s="35">
        <v>19700</v>
      </c>
      <c r="F188" s="36">
        <v>0</v>
      </c>
      <c r="G188" s="36">
        <v>0</v>
      </c>
      <c r="H188" s="36">
        <v>372000</v>
      </c>
      <c r="I188" s="36">
        <v>276000</v>
      </c>
      <c r="J188" s="36">
        <v>266000</v>
      </c>
      <c r="K188" s="38">
        <f t="shared" si="14"/>
        <v>0</v>
      </c>
      <c r="L188" s="38">
        <f t="shared" si="10"/>
        <v>0</v>
      </c>
      <c r="M188" s="38">
        <f t="shared" si="11"/>
        <v>-362000</v>
      </c>
      <c r="N188" s="38">
        <f t="shared" si="12"/>
        <v>-268000</v>
      </c>
      <c r="O188" s="38">
        <f t="shared" si="13"/>
        <v>-259000</v>
      </c>
    </row>
    <row r="189" spans="1:15" ht="15.75" hidden="1" x14ac:dyDescent="0.25">
      <c r="A189" s="32" t="s">
        <v>9</v>
      </c>
      <c r="B189" s="32" t="s">
        <v>99</v>
      </c>
      <c r="C189" s="33" t="s">
        <v>284</v>
      </c>
      <c r="D189" s="34">
        <v>45839</v>
      </c>
      <c r="E189" s="35">
        <v>19700</v>
      </c>
      <c r="F189" s="36">
        <v>0</v>
      </c>
      <c r="G189" s="36">
        <v>0</v>
      </c>
      <c r="H189" s="36">
        <v>372000</v>
      </c>
      <c r="I189" s="36">
        <v>298000</v>
      </c>
      <c r="J189" s="36">
        <v>245000</v>
      </c>
      <c r="K189" s="38">
        <f t="shared" si="14"/>
        <v>0</v>
      </c>
      <c r="L189" s="38">
        <f t="shared" si="10"/>
        <v>0</v>
      </c>
      <c r="M189" s="38">
        <f t="shared" si="11"/>
        <v>-362000</v>
      </c>
      <c r="N189" s="38">
        <f t="shared" si="12"/>
        <v>-290000</v>
      </c>
      <c r="O189" s="38">
        <f t="shared" si="13"/>
        <v>-238000</v>
      </c>
    </row>
    <row r="190" spans="1:15" ht="15.75" hidden="1" x14ac:dyDescent="0.25">
      <c r="A190" s="32" t="s">
        <v>9</v>
      </c>
      <c r="B190" s="32" t="s">
        <v>392</v>
      </c>
      <c r="C190" s="33" t="s">
        <v>284</v>
      </c>
      <c r="D190" s="34">
        <v>45839</v>
      </c>
      <c r="E190" s="35">
        <v>19700</v>
      </c>
      <c r="F190" s="36">
        <v>1167000</v>
      </c>
      <c r="G190" s="36">
        <v>0</v>
      </c>
      <c r="H190" s="36">
        <v>276000</v>
      </c>
      <c r="I190" s="36">
        <v>276000</v>
      </c>
      <c r="J190" s="36">
        <v>234000</v>
      </c>
      <c r="K190" s="38">
        <f t="shared" si="14"/>
        <v>-1135000</v>
      </c>
      <c r="L190" s="38">
        <f t="shared" si="10"/>
        <v>0</v>
      </c>
      <c r="M190" s="38">
        <f t="shared" si="11"/>
        <v>-268000</v>
      </c>
      <c r="N190" s="38">
        <f t="shared" si="12"/>
        <v>-268000</v>
      </c>
      <c r="O190" s="38">
        <f t="shared" si="13"/>
        <v>-228000</v>
      </c>
    </row>
    <row r="191" spans="1:15" ht="15.75" hidden="1" x14ac:dyDescent="0.25">
      <c r="A191" s="32" t="s">
        <v>9</v>
      </c>
      <c r="B191" s="32" t="s">
        <v>393</v>
      </c>
      <c r="C191" s="33" t="s">
        <v>284</v>
      </c>
      <c r="D191" s="34">
        <v>45839</v>
      </c>
      <c r="E191" s="35">
        <v>19700</v>
      </c>
      <c r="F191" s="36">
        <v>1167000</v>
      </c>
      <c r="G191" s="36">
        <v>0</v>
      </c>
      <c r="H191" s="36">
        <v>276000</v>
      </c>
      <c r="I191" s="36">
        <v>276000</v>
      </c>
      <c r="J191" s="36">
        <v>234000</v>
      </c>
      <c r="K191" s="38">
        <f t="shared" si="14"/>
        <v>-1135000</v>
      </c>
      <c r="L191" s="38">
        <f t="shared" si="10"/>
        <v>0</v>
      </c>
      <c r="M191" s="38">
        <f t="shared" si="11"/>
        <v>-268000</v>
      </c>
      <c r="N191" s="38">
        <f t="shared" si="12"/>
        <v>-268000</v>
      </c>
      <c r="O191" s="38">
        <f t="shared" si="13"/>
        <v>-228000</v>
      </c>
    </row>
    <row r="192" spans="1:15" ht="15.75" hidden="1" x14ac:dyDescent="0.25">
      <c r="A192" s="32" t="s">
        <v>9</v>
      </c>
      <c r="B192" s="32" t="s">
        <v>394</v>
      </c>
      <c r="C192" s="33" t="s">
        <v>284</v>
      </c>
      <c r="D192" s="34">
        <v>45839</v>
      </c>
      <c r="E192" s="35">
        <v>19700</v>
      </c>
      <c r="F192" s="36">
        <v>1167000</v>
      </c>
      <c r="G192" s="36">
        <v>0</v>
      </c>
      <c r="H192" s="36">
        <v>276000</v>
      </c>
      <c r="I192" s="36">
        <v>276000</v>
      </c>
      <c r="J192" s="36">
        <v>234000</v>
      </c>
      <c r="K192" s="38">
        <f t="shared" si="14"/>
        <v>-1135000</v>
      </c>
      <c r="L192" s="38">
        <f t="shared" si="10"/>
        <v>0</v>
      </c>
      <c r="M192" s="38">
        <f t="shared" si="11"/>
        <v>-268000</v>
      </c>
      <c r="N192" s="38">
        <f t="shared" si="12"/>
        <v>-268000</v>
      </c>
      <c r="O192" s="38">
        <f t="shared" si="13"/>
        <v>-228000</v>
      </c>
    </row>
    <row r="193" spans="1:15" ht="15.75" hidden="1" x14ac:dyDescent="0.25">
      <c r="A193" s="32" t="s">
        <v>9</v>
      </c>
      <c r="B193" s="32" t="s">
        <v>395</v>
      </c>
      <c r="C193" s="33" t="s">
        <v>284</v>
      </c>
      <c r="D193" s="34">
        <v>45839</v>
      </c>
      <c r="E193" s="35">
        <v>19700</v>
      </c>
      <c r="F193" s="36">
        <v>1167000</v>
      </c>
      <c r="G193" s="36">
        <v>0</v>
      </c>
      <c r="H193" s="36">
        <v>276000</v>
      </c>
      <c r="I193" s="36">
        <v>276000</v>
      </c>
      <c r="J193" s="36">
        <v>234000</v>
      </c>
      <c r="K193" s="38">
        <f t="shared" si="14"/>
        <v>-1135000</v>
      </c>
      <c r="L193" s="38">
        <f t="shared" si="10"/>
        <v>0</v>
      </c>
      <c r="M193" s="38">
        <f t="shared" si="11"/>
        <v>-268000</v>
      </c>
      <c r="N193" s="38">
        <f t="shared" si="12"/>
        <v>-268000</v>
      </c>
      <c r="O193" s="38">
        <f t="shared" si="13"/>
        <v>-228000</v>
      </c>
    </row>
    <row r="194" spans="1:15" ht="15.75" hidden="1" x14ac:dyDescent="0.25">
      <c r="A194" s="32" t="s">
        <v>9</v>
      </c>
      <c r="B194" s="32" t="s">
        <v>396</v>
      </c>
      <c r="C194" s="33" t="s">
        <v>284</v>
      </c>
      <c r="D194" s="34">
        <v>45839</v>
      </c>
      <c r="E194" s="35">
        <v>19700</v>
      </c>
      <c r="F194" s="36">
        <v>1167000</v>
      </c>
      <c r="G194" s="36">
        <v>0</v>
      </c>
      <c r="H194" s="36">
        <v>276000</v>
      </c>
      <c r="I194" s="36">
        <v>276000</v>
      </c>
      <c r="J194" s="36">
        <v>234000</v>
      </c>
      <c r="K194" s="38">
        <f t="shared" si="14"/>
        <v>-1135000</v>
      </c>
      <c r="L194" s="38">
        <f t="shared" ref="L194:L205" si="15">ROUND(G194*2.74%-G194,-3)</f>
        <v>0</v>
      </c>
      <c r="M194" s="38">
        <f t="shared" ref="M194:M205" si="16">ROUND(H194*2.74%-H194,-3)</f>
        <v>-268000</v>
      </c>
      <c r="N194" s="38">
        <f t="shared" ref="N194:N205" si="17">ROUND(I194*2.74%-I194,-3)</f>
        <v>-268000</v>
      </c>
      <c r="O194" s="38">
        <f t="shared" ref="O194:O205" si="18">ROUND(J194*2.74%-J194,-3)</f>
        <v>-228000</v>
      </c>
    </row>
    <row r="195" spans="1:15" ht="15.75" hidden="1" x14ac:dyDescent="0.25">
      <c r="A195" s="32" t="s">
        <v>9</v>
      </c>
      <c r="B195" s="32" t="s">
        <v>410</v>
      </c>
      <c r="C195" s="33" t="s">
        <v>284</v>
      </c>
      <c r="D195" s="34">
        <v>45839</v>
      </c>
      <c r="E195" s="35">
        <v>19700</v>
      </c>
      <c r="F195" s="36">
        <v>0</v>
      </c>
      <c r="G195" s="36">
        <v>0</v>
      </c>
      <c r="H195" s="36">
        <v>372000</v>
      </c>
      <c r="I195" s="36">
        <v>276000</v>
      </c>
      <c r="J195" s="36">
        <v>266000</v>
      </c>
      <c r="K195" s="38">
        <f t="shared" ref="K195:K205" si="19">ROUND(F195*2.74%-F195,-3)</f>
        <v>0</v>
      </c>
      <c r="L195" s="38">
        <f t="shared" si="15"/>
        <v>0</v>
      </c>
      <c r="M195" s="38">
        <f t="shared" si="16"/>
        <v>-362000</v>
      </c>
      <c r="N195" s="38">
        <f t="shared" si="17"/>
        <v>-268000</v>
      </c>
      <c r="O195" s="38">
        <f t="shared" si="18"/>
        <v>-259000</v>
      </c>
    </row>
    <row r="196" spans="1:15" ht="15.75" hidden="1" x14ac:dyDescent="0.25">
      <c r="A196" s="32" t="s">
        <v>9</v>
      </c>
      <c r="B196" s="32" t="s">
        <v>411</v>
      </c>
      <c r="C196" s="33" t="s">
        <v>284</v>
      </c>
      <c r="D196" s="34">
        <v>45839</v>
      </c>
      <c r="E196" s="35">
        <v>19700</v>
      </c>
      <c r="F196" s="36">
        <v>0</v>
      </c>
      <c r="G196" s="36">
        <v>0</v>
      </c>
      <c r="H196" s="36">
        <v>372000</v>
      </c>
      <c r="I196" s="36">
        <v>276000</v>
      </c>
      <c r="J196" s="36">
        <v>266000</v>
      </c>
      <c r="K196" s="38">
        <f t="shared" si="19"/>
        <v>0</v>
      </c>
      <c r="L196" s="38">
        <f t="shared" si="15"/>
        <v>0</v>
      </c>
      <c r="M196" s="38">
        <f t="shared" si="16"/>
        <v>-362000</v>
      </c>
      <c r="N196" s="38">
        <f t="shared" si="17"/>
        <v>-268000</v>
      </c>
      <c r="O196" s="38">
        <f t="shared" si="18"/>
        <v>-259000</v>
      </c>
    </row>
    <row r="197" spans="1:15" ht="15.75" hidden="1" x14ac:dyDescent="0.25">
      <c r="A197" s="32" t="s">
        <v>9</v>
      </c>
      <c r="B197" s="32" t="s">
        <v>102</v>
      </c>
      <c r="C197" s="33" t="s">
        <v>284</v>
      </c>
      <c r="D197" s="34">
        <v>45839</v>
      </c>
      <c r="E197" s="35">
        <v>19700</v>
      </c>
      <c r="F197" s="36">
        <v>0</v>
      </c>
      <c r="G197" s="36">
        <v>0</v>
      </c>
      <c r="H197" s="36">
        <v>372000</v>
      </c>
      <c r="I197" s="36">
        <v>276000</v>
      </c>
      <c r="J197" s="36">
        <v>266000</v>
      </c>
      <c r="K197" s="38">
        <f t="shared" si="19"/>
        <v>0</v>
      </c>
      <c r="L197" s="38">
        <f t="shared" si="15"/>
        <v>0</v>
      </c>
      <c r="M197" s="38">
        <f t="shared" si="16"/>
        <v>-362000</v>
      </c>
      <c r="N197" s="38">
        <f t="shared" si="17"/>
        <v>-268000</v>
      </c>
      <c r="O197" s="38">
        <f t="shared" si="18"/>
        <v>-259000</v>
      </c>
    </row>
    <row r="198" spans="1:15" ht="15.75" hidden="1" x14ac:dyDescent="0.25">
      <c r="A198" s="32" t="s">
        <v>19</v>
      </c>
      <c r="B198" s="32" t="s">
        <v>284</v>
      </c>
      <c r="C198" s="33" t="s">
        <v>284</v>
      </c>
      <c r="D198" s="34">
        <v>45839</v>
      </c>
      <c r="E198" s="35">
        <v>19700</v>
      </c>
      <c r="F198" s="36">
        <v>0</v>
      </c>
      <c r="G198" s="36">
        <v>0</v>
      </c>
      <c r="H198" s="36">
        <v>393000</v>
      </c>
      <c r="I198" s="36">
        <v>361000</v>
      </c>
      <c r="J198" s="36">
        <v>308000</v>
      </c>
      <c r="K198" s="38">
        <f t="shared" si="19"/>
        <v>0</v>
      </c>
      <c r="L198" s="38">
        <f t="shared" si="15"/>
        <v>0</v>
      </c>
      <c r="M198" s="38">
        <f t="shared" si="16"/>
        <v>-382000</v>
      </c>
      <c r="N198" s="38">
        <f t="shared" si="17"/>
        <v>-351000</v>
      </c>
      <c r="O198" s="38">
        <f t="shared" si="18"/>
        <v>-300000</v>
      </c>
    </row>
    <row r="199" spans="1:15" ht="15.75" hidden="1" x14ac:dyDescent="0.25">
      <c r="A199" s="32" t="s">
        <v>19</v>
      </c>
      <c r="B199" s="32" t="s">
        <v>419</v>
      </c>
      <c r="C199" s="33" t="s">
        <v>284</v>
      </c>
      <c r="D199" s="34">
        <v>45839</v>
      </c>
      <c r="E199" s="35">
        <v>19700</v>
      </c>
      <c r="F199" s="36">
        <v>0</v>
      </c>
      <c r="G199" s="36">
        <v>0</v>
      </c>
      <c r="H199" s="36">
        <v>446000</v>
      </c>
      <c r="I199" s="36">
        <v>382000</v>
      </c>
      <c r="J199" s="36">
        <v>340000</v>
      </c>
      <c r="K199" s="38">
        <f t="shared" si="19"/>
        <v>0</v>
      </c>
      <c r="L199" s="38">
        <f t="shared" si="15"/>
        <v>0</v>
      </c>
      <c r="M199" s="38">
        <f t="shared" si="16"/>
        <v>-434000</v>
      </c>
      <c r="N199" s="38">
        <f t="shared" si="17"/>
        <v>-372000</v>
      </c>
      <c r="O199" s="38">
        <f t="shared" si="18"/>
        <v>-331000</v>
      </c>
    </row>
    <row r="200" spans="1:15" ht="15.75" hidden="1" x14ac:dyDescent="0.25">
      <c r="A200" s="32" t="s">
        <v>19</v>
      </c>
      <c r="B200" s="32" t="s">
        <v>420</v>
      </c>
      <c r="C200" s="33" t="s">
        <v>284</v>
      </c>
      <c r="D200" s="34">
        <v>45839</v>
      </c>
      <c r="E200" s="35">
        <v>19700</v>
      </c>
      <c r="F200" s="36">
        <v>0</v>
      </c>
      <c r="G200" s="36">
        <v>0</v>
      </c>
      <c r="H200" s="36">
        <v>446000</v>
      </c>
      <c r="I200" s="36">
        <v>382000</v>
      </c>
      <c r="J200" s="36">
        <v>340000</v>
      </c>
      <c r="K200" s="38">
        <f t="shared" si="19"/>
        <v>0</v>
      </c>
      <c r="L200" s="38">
        <f t="shared" si="15"/>
        <v>0</v>
      </c>
      <c r="M200" s="38">
        <f t="shared" si="16"/>
        <v>-434000</v>
      </c>
      <c r="N200" s="38">
        <f t="shared" si="17"/>
        <v>-372000</v>
      </c>
      <c r="O200" s="38">
        <f t="shared" si="18"/>
        <v>-331000</v>
      </c>
    </row>
    <row r="201" spans="1:15" ht="15.75" hidden="1" x14ac:dyDescent="0.25">
      <c r="A201" s="32" t="s">
        <v>19</v>
      </c>
      <c r="B201" s="32" t="s">
        <v>294</v>
      </c>
      <c r="C201" s="33" t="s">
        <v>284</v>
      </c>
      <c r="D201" s="34">
        <v>45839</v>
      </c>
      <c r="E201" s="35">
        <v>19700</v>
      </c>
      <c r="F201" s="36">
        <v>0</v>
      </c>
      <c r="G201" s="36">
        <v>0</v>
      </c>
      <c r="H201" s="36">
        <v>372000</v>
      </c>
      <c r="I201" s="36">
        <v>361000</v>
      </c>
      <c r="J201" s="36">
        <v>298000</v>
      </c>
      <c r="K201" s="38">
        <f t="shared" si="19"/>
        <v>0</v>
      </c>
      <c r="L201" s="38">
        <f t="shared" si="15"/>
        <v>0</v>
      </c>
      <c r="M201" s="38">
        <f t="shared" si="16"/>
        <v>-362000</v>
      </c>
      <c r="N201" s="38">
        <f t="shared" si="17"/>
        <v>-351000</v>
      </c>
      <c r="O201" s="38">
        <f t="shared" si="18"/>
        <v>-290000</v>
      </c>
    </row>
    <row r="202" spans="1:15" ht="15.75" hidden="1" x14ac:dyDescent="0.25">
      <c r="A202" s="32" t="s">
        <v>19</v>
      </c>
      <c r="B202" s="32" t="s">
        <v>295</v>
      </c>
      <c r="C202" s="33" t="s">
        <v>284</v>
      </c>
      <c r="D202" s="34">
        <v>45839</v>
      </c>
      <c r="E202" s="35">
        <v>19700</v>
      </c>
      <c r="F202" s="36">
        <v>0</v>
      </c>
      <c r="G202" s="36">
        <v>0</v>
      </c>
      <c r="H202" s="36">
        <v>372000</v>
      </c>
      <c r="I202" s="36">
        <v>361000</v>
      </c>
      <c r="J202" s="36">
        <v>298000</v>
      </c>
      <c r="K202" s="38">
        <f t="shared" si="19"/>
        <v>0</v>
      </c>
      <c r="L202" s="38">
        <f t="shared" si="15"/>
        <v>0</v>
      </c>
      <c r="M202" s="38">
        <f t="shared" si="16"/>
        <v>-362000</v>
      </c>
      <c r="N202" s="38">
        <f t="shared" si="17"/>
        <v>-351000</v>
      </c>
      <c r="O202" s="38">
        <f t="shared" si="18"/>
        <v>-290000</v>
      </c>
    </row>
    <row r="203" spans="1:15" ht="15.75" hidden="1" x14ac:dyDescent="0.25">
      <c r="A203" s="32" t="s">
        <v>19</v>
      </c>
      <c r="B203" s="32" t="s">
        <v>87</v>
      </c>
      <c r="C203" s="33" t="s">
        <v>284</v>
      </c>
      <c r="D203" s="34">
        <v>45839</v>
      </c>
      <c r="E203" s="35">
        <v>19700</v>
      </c>
      <c r="F203" s="36">
        <v>0</v>
      </c>
      <c r="G203" s="36">
        <v>0</v>
      </c>
      <c r="H203" s="36">
        <v>372000</v>
      </c>
      <c r="I203" s="36">
        <v>361000</v>
      </c>
      <c r="J203" s="36">
        <v>298000</v>
      </c>
      <c r="K203" s="38">
        <f t="shared" si="19"/>
        <v>0</v>
      </c>
      <c r="L203" s="38">
        <f t="shared" si="15"/>
        <v>0</v>
      </c>
      <c r="M203" s="38">
        <f t="shared" si="16"/>
        <v>-362000</v>
      </c>
      <c r="N203" s="38">
        <f t="shared" si="17"/>
        <v>-351000</v>
      </c>
      <c r="O203" s="38">
        <f t="shared" si="18"/>
        <v>-290000</v>
      </c>
    </row>
    <row r="204" spans="1:15" ht="15.75" hidden="1" x14ac:dyDescent="0.25">
      <c r="A204" s="32" t="s">
        <v>19</v>
      </c>
      <c r="B204" s="32" t="s">
        <v>296</v>
      </c>
      <c r="C204" s="33" t="s">
        <v>284</v>
      </c>
      <c r="D204" s="34">
        <v>45839</v>
      </c>
      <c r="E204" s="35">
        <v>19700</v>
      </c>
      <c r="F204" s="36">
        <v>0</v>
      </c>
      <c r="G204" s="36">
        <v>0</v>
      </c>
      <c r="H204" s="36">
        <v>372000</v>
      </c>
      <c r="I204" s="36">
        <v>361000</v>
      </c>
      <c r="J204" s="36">
        <v>298000</v>
      </c>
      <c r="K204" s="38">
        <f t="shared" si="19"/>
        <v>0</v>
      </c>
      <c r="L204" s="38">
        <f t="shared" si="15"/>
        <v>0</v>
      </c>
      <c r="M204" s="38">
        <f t="shared" si="16"/>
        <v>-362000</v>
      </c>
      <c r="N204" s="38">
        <f t="shared" si="17"/>
        <v>-351000</v>
      </c>
      <c r="O204" s="38">
        <f t="shared" si="18"/>
        <v>-290000</v>
      </c>
    </row>
    <row r="205" spans="1:15" ht="15.75" hidden="1" x14ac:dyDescent="0.25">
      <c r="A205" s="32" t="s">
        <v>19</v>
      </c>
      <c r="B205" s="32" t="s">
        <v>35</v>
      </c>
      <c r="C205" s="33" t="s">
        <v>284</v>
      </c>
      <c r="D205" s="34">
        <v>45839</v>
      </c>
      <c r="E205" s="35">
        <v>19700</v>
      </c>
      <c r="F205" s="36">
        <v>0</v>
      </c>
      <c r="G205" s="36">
        <v>0</v>
      </c>
      <c r="H205" s="36">
        <v>446000</v>
      </c>
      <c r="I205" s="36">
        <v>382000</v>
      </c>
      <c r="J205" s="36">
        <v>340000</v>
      </c>
      <c r="K205" s="38">
        <f t="shared" si="19"/>
        <v>0</v>
      </c>
      <c r="L205" s="38">
        <f t="shared" si="15"/>
        <v>0</v>
      </c>
      <c r="M205" s="38">
        <f t="shared" si="16"/>
        <v>-434000</v>
      </c>
      <c r="N205" s="38">
        <f t="shared" si="17"/>
        <v>-372000</v>
      </c>
      <c r="O205" s="38">
        <f t="shared" si="18"/>
        <v>-331000</v>
      </c>
    </row>
  </sheetData>
  <autoFilter ref="A1:O205" xr:uid="{00000000-0009-0000-0000-00000A000000}">
    <filterColumn colId="0">
      <filters>
        <filter val="Lâm Đồng"/>
      </filters>
    </filterColumn>
    <sortState xmlns:xlrd2="http://schemas.microsoft.com/office/spreadsheetml/2017/richdata2" ref="A2:O205">
      <sortCondition ref="A1"/>
    </sortState>
  </autoFilter>
  <mergeCells count="1">
    <mergeCell ref="K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TINH GIA DAU</vt:lpstr>
      <vt:lpstr>Kỳ điều chỉnh</vt:lpstr>
      <vt:lpstr>CLF (f)</vt:lpstr>
      <vt:lpstr>MCC (tt) (f)</vt:lpstr>
      <vt:lpstr>MCC GH (f)</vt:lpstr>
      <vt:lpstr>CLV (f)</vt:lpstr>
      <vt:lpstr>NDFC (TT) (f)</vt:lpstr>
      <vt:lpstr>NDFC -naic (f)</vt:lpstr>
      <vt:lpstr>VP-hiep phuoc (f)</vt:lpstr>
      <vt:lpstr>VP-uni (f)</vt:lpstr>
      <vt:lpstr>3KS (f)</vt:lpstr>
      <vt:lpstr>GẠO UNIDEPOT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LÊ THIÊN ÂN</cp:lastModifiedBy>
  <cp:lastPrinted>2026-04-29T10:54:02Z</cp:lastPrinted>
  <dcterms:created xsi:type="dcterms:W3CDTF">2015-06-05T18:17:20Z</dcterms:created>
  <dcterms:modified xsi:type="dcterms:W3CDTF">2026-09-12T08:11:25Z</dcterms:modified>
</cp:coreProperties>
</file>